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RCH\Documents\REVIT_MCP_study-main\lebr-db\draft\"/>
    </mc:Choice>
  </mc:AlternateContent>
  <xr:revisionPtr revIDLastSave="0" documentId="13_ncr:1_{AB374CE5-7A21-45BC-8E03-D015CC6B55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說明（先看這頁）" sheetId="1" r:id="rId1"/>
    <sheet name="⚠ 需確認" sheetId="2" r:id="rId2"/>
    <sheet name="附錄一 初級資材" sheetId="3" r:id="rId3"/>
    <sheet name="附表2-1 外牆外裝" sheetId="4" r:id="rId4"/>
    <sheet name="附表2-2 外窗" sheetId="5" r:id="rId5"/>
    <sheet name="附表2-3 透光帷幕" sheetId="6" r:id="rId6"/>
    <sheet name="附表2-4 不透光帷幕" sheetId="7" r:id="rId7"/>
    <sheet name="附表2-5 內隔間" sheetId="8" r:id="rId8"/>
    <sheet name="附表2-6 室內地坪" sheetId="9" r:id="rId9"/>
    <sheet name="附表2-7 戶外地坪" sheetId="10" r:id="rId10"/>
  </sheets>
  <definedNames>
    <definedName name="_xlnm._FilterDatabase" localSheetId="3" hidden="1">'附表2-1 外牆外裝'!$A$4:$T$10</definedName>
    <definedName name="_xlnm._FilterDatabase" localSheetId="4" hidden="1">'附表2-2 外窗'!$A$4:$T$44</definedName>
    <definedName name="_xlnm._FilterDatabase" localSheetId="5" hidden="1">'附表2-3 透光帷幕'!$A$4:$T$34</definedName>
    <definedName name="_xlnm._FilterDatabase" localSheetId="6" hidden="1">'附表2-4 不透光帷幕'!$A$4:$P$10</definedName>
    <definedName name="_xlnm._FilterDatabase" localSheetId="7" hidden="1">'附表2-5 內隔間'!$A$4:$Q$22</definedName>
    <definedName name="_xlnm._FilterDatabase" localSheetId="8" hidden="1">'附表2-6 室內地坪'!$A$4:$V$46</definedName>
    <definedName name="_xlnm._FilterDatabase" localSheetId="9" hidden="1">'附表2-7 戶外地坪'!$A$4:$T$49</definedName>
    <definedName name="_xlnm._FilterDatabase" localSheetId="2" hidden="1">'附錄一 初級資材'!$A$4:$Q$124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49" i="10" l="1"/>
  <c r="Q49" i="10" s="1"/>
  <c r="O49" i="10"/>
  <c r="N49" i="10"/>
  <c r="P48" i="10"/>
  <c r="Q48" i="10" s="1"/>
  <c r="O48" i="10"/>
  <c r="N48" i="10"/>
  <c r="P47" i="10"/>
  <c r="O47" i="10"/>
  <c r="N47" i="10"/>
  <c r="P46" i="10"/>
  <c r="O46" i="10"/>
  <c r="N46" i="10"/>
  <c r="P45" i="10"/>
  <c r="Q45" i="10" s="1"/>
  <c r="O45" i="10"/>
  <c r="N45" i="10"/>
  <c r="P44" i="10"/>
  <c r="Q44" i="10" s="1"/>
  <c r="O44" i="10"/>
  <c r="N44" i="10"/>
  <c r="P43" i="10"/>
  <c r="O43" i="10"/>
  <c r="N43" i="10"/>
  <c r="P42" i="10"/>
  <c r="O42" i="10"/>
  <c r="N42" i="10"/>
  <c r="P41" i="10"/>
  <c r="Q41" i="10" s="1"/>
  <c r="O41" i="10"/>
  <c r="N41" i="10"/>
  <c r="P40" i="10"/>
  <c r="Q40" i="10" s="1"/>
  <c r="O40" i="10"/>
  <c r="N40" i="10"/>
  <c r="P39" i="10"/>
  <c r="O39" i="10"/>
  <c r="N39" i="10"/>
  <c r="P38" i="10"/>
  <c r="O38" i="10"/>
  <c r="N38" i="10"/>
  <c r="P37" i="10"/>
  <c r="Q37" i="10" s="1"/>
  <c r="O37" i="10"/>
  <c r="N37" i="10"/>
  <c r="P36" i="10"/>
  <c r="Q36" i="10" s="1"/>
  <c r="O36" i="10"/>
  <c r="N36" i="10"/>
  <c r="P35" i="10"/>
  <c r="O35" i="10"/>
  <c r="N35" i="10"/>
  <c r="P34" i="10"/>
  <c r="O34" i="10"/>
  <c r="N34" i="10"/>
  <c r="P33" i="10"/>
  <c r="Q33" i="10" s="1"/>
  <c r="O33" i="10"/>
  <c r="N33" i="10"/>
  <c r="P32" i="10"/>
  <c r="Q32" i="10" s="1"/>
  <c r="O32" i="10"/>
  <c r="N32" i="10"/>
  <c r="P31" i="10"/>
  <c r="O31" i="10"/>
  <c r="N31" i="10"/>
  <c r="P30" i="10"/>
  <c r="O30" i="10"/>
  <c r="N30" i="10"/>
  <c r="P29" i="10"/>
  <c r="Q29" i="10" s="1"/>
  <c r="O29" i="10"/>
  <c r="N29" i="10"/>
  <c r="P28" i="10"/>
  <c r="Q28" i="10" s="1"/>
  <c r="O28" i="10"/>
  <c r="N28" i="10"/>
  <c r="P27" i="10"/>
  <c r="O27" i="10"/>
  <c r="N27" i="10"/>
  <c r="P26" i="10"/>
  <c r="O26" i="10"/>
  <c r="N26" i="10"/>
  <c r="P25" i="10"/>
  <c r="Q25" i="10" s="1"/>
  <c r="O25" i="10"/>
  <c r="N25" i="10"/>
  <c r="P24" i="10"/>
  <c r="Q24" i="10" s="1"/>
  <c r="O24" i="10"/>
  <c r="N24" i="10"/>
  <c r="P23" i="10"/>
  <c r="O23" i="10"/>
  <c r="N23" i="10"/>
  <c r="P22" i="10"/>
  <c r="O22" i="10"/>
  <c r="N22" i="10"/>
  <c r="P21" i="10"/>
  <c r="Q21" i="10" s="1"/>
  <c r="O21" i="10"/>
  <c r="N21" i="10"/>
  <c r="P20" i="10"/>
  <c r="Q20" i="10" s="1"/>
  <c r="O20" i="10"/>
  <c r="N20" i="10"/>
  <c r="P19" i="10"/>
  <c r="O19" i="10"/>
  <c r="N19" i="10"/>
  <c r="P18" i="10"/>
  <c r="O18" i="10"/>
  <c r="N18" i="10"/>
  <c r="P17" i="10"/>
  <c r="Q17" i="10" s="1"/>
  <c r="O17" i="10"/>
  <c r="N17" i="10"/>
  <c r="P16" i="10"/>
  <c r="Q16" i="10" s="1"/>
  <c r="O16" i="10"/>
  <c r="N16" i="10"/>
  <c r="P15" i="10"/>
  <c r="O15" i="10"/>
  <c r="N15" i="10"/>
  <c r="P14" i="10"/>
  <c r="O14" i="10"/>
  <c r="N14" i="10"/>
  <c r="P13" i="10"/>
  <c r="Q13" i="10" s="1"/>
  <c r="O13" i="10"/>
  <c r="N13" i="10"/>
  <c r="P12" i="10"/>
  <c r="Q12" i="10" s="1"/>
  <c r="O12" i="10"/>
  <c r="N12" i="10"/>
  <c r="P11" i="10"/>
  <c r="O11" i="10"/>
  <c r="N11" i="10"/>
  <c r="P10" i="10"/>
  <c r="O10" i="10"/>
  <c r="N10" i="10"/>
  <c r="P9" i="10"/>
  <c r="Q9" i="10" s="1"/>
  <c r="O9" i="10"/>
  <c r="N9" i="10"/>
  <c r="P8" i="10"/>
  <c r="Q8" i="10" s="1"/>
  <c r="O8" i="10"/>
  <c r="N8" i="10"/>
  <c r="P7" i="10"/>
  <c r="O7" i="10"/>
  <c r="N7" i="10"/>
  <c r="P6" i="10"/>
  <c r="O6" i="10"/>
  <c r="N6" i="10"/>
  <c r="P5" i="10"/>
  <c r="Q5" i="10" s="1"/>
  <c r="O5" i="10"/>
  <c r="N5" i="10"/>
  <c r="R46" i="9"/>
  <c r="S46" i="9" s="1"/>
  <c r="Q46" i="9"/>
  <c r="P46" i="9"/>
  <c r="R45" i="9"/>
  <c r="Q45" i="9"/>
  <c r="P45" i="9"/>
  <c r="R44" i="9"/>
  <c r="Q44" i="9"/>
  <c r="P44" i="9"/>
  <c r="R43" i="9"/>
  <c r="S43" i="9" s="1"/>
  <c r="Q43" i="9"/>
  <c r="P43" i="9"/>
  <c r="R42" i="9"/>
  <c r="S42" i="9" s="1"/>
  <c r="Q42" i="9"/>
  <c r="P42" i="9"/>
  <c r="R41" i="9"/>
  <c r="Q41" i="9"/>
  <c r="P41" i="9"/>
  <c r="R40" i="9"/>
  <c r="Q40" i="9"/>
  <c r="P40" i="9"/>
  <c r="R39" i="9"/>
  <c r="S39" i="9" s="1"/>
  <c r="Q39" i="9"/>
  <c r="P39" i="9"/>
  <c r="R38" i="9"/>
  <c r="S38" i="9" s="1"/>
  <c r="Q38" i="9"/>
  <c r="P38" i="9"/>
  <c r="R37" i="9"/>
  <c r="Q37" i="9"/>
  <c r="P37" i="9"/>
  <c r="R36" i="9"/>
  <c r="Q36" i="9"/>
  <c r="P36" i="9"/>
  <c r="R35" i="9"/>
  <c r="S35" i="9" s="1"/>
  <c r="Q35" i="9"/>
  <c r="P35" i="9"/>
  <c r="R34" i="9"/>
  <c r="S34" i="9" s="1"/>
  <c r="Q34" i="9"/>
  <c r="P34" i="9"/>
  <c r="R33" i="9"/>
  <c r="Q33" i="9"/>
  <c r="P33" i="9"/>
  <c r="R32" i="9"/>
  <c r="Q32" i="9"/>
  <c r="P32" i="9"/>
  <c r="R31" i="9"/>
  <c r="S31" i="9" s="1"/>
  <c r="Q31" i="9"/>
  <c r="P31" i="9"/>
  <c r="R30" i="9"/>
  <c r="S30" i="9" s="1"/>
  <c r="Q30" i="9"/>
  <c r="P30" i="9"/>
  <c r="R29" i="9"/>
  <c r="Q29" i="9"/>
  <c r="P29" i="9"/>
  <c r="R28" i="9"/>
  <c r="Q28" i="9"/>
  <c r="P28" i="9"/>
  <c r="R27" i="9"/>
  <c r="S27" i="9" s="1"/>
  <c r="Q27" i="9"/>
  <c r="P27" i="9"/>
  <c r="R26" i="9"/>
  <c r="S26" i="9" s="1"/>
  <c r="Q26" i="9"/>
  <c r="P26" i="9"/>
  <c r="R25" i="9"/>
  <c r="Q25" i="9"/>
  <c r="P25" i="9"/>
  <c r="R24" i="9"/>
  <c r="Q24" i="9"/>
  <c r="P24" i="9"/>
  <c r="R23" i="9"/>
  <c r="S23" i="9" s="1"/>
  <c r="Q23" i="9"/>
  <c r="P23" i="9"/>
  <c r="R22" i="9"/>
  <c r="S22" i="9" s="1"/>
  <c r="Q22" i="9"/>
  <c r="P22" i="9"/>
  <c r="R21" i="9"/>
  <c r="Q21" i="9"/>
  <c r="P21" i="9"/>
  <c r="R20" i="9"/>
  <c r="Q20" i="9"/>
  <c r="P20" i="9"/>
  <c r="R19" i="9"/>
  <c r="S19" i="9" s="1"/>
  <c r="Q19" i="9"/>
  <c r="P19" i="9"/>
  <c r="R18" i="9"/>
  <c r="S18" i="9" s="1"/>
  <c r="Q18" i="9"/>
  <c r="P18" i="9"/>
  <c r="R17" i="9"/>
  <c r="Q17" i="9"/>
  <c r="P17" i="9"/>
  <c r="R16" i="9"/>
  <c r="Q16" i="9"/>
  <c r="P16" i="9"/>
  <c r="R15" i="9"/>
  <c r="S15" i="9" s="1"/>
  <c r="Q15" i="9"/>
  <c r="P15" i="9"/>
  <c r="R14" i="9"/>
  <c r="S14" i="9" s="1"/>
  <c r="Q14" i="9"/>
  <c r="P14" i="9"/>
  <c r="R13" i="9"/>
  <c r="Q13" i="9"/>
  <c r="P13" i="9"/>
  <c r="R12" i="9"/>
  <c r="Q12" i="9"/>
  <c r="P12" i="9"/>
  <c r="R11" i="9"/>
  <c r="S11" i="9" s="1"/>
  <c r="Q11" i="9"/>
  <c r="P11" i="9"/>
  <c r="R10" i="9"/>
  <c r="S10" i="9" s="1"/>
  <c r="Q10" i="9"/>
  <c r="P10" i="9"/>
  <c r="R9" i="9"/>
  <c r="Q9" i="9"/>
  <c r="P9" i="9"/>
  <c r="R8" i="9"/>
  <c r="Q8" i="9"/>
  <c r="P8" i="9"/>
  <c r="R7" i="9"/>
  <c r="S7" i="9" s="1"/>
  <c r="Q7" i="9"/>
  <c r="P7" i="9"/>
  <c r="R6" i="9"/>
  <c r="S6" i="9" s="1"/>
  <c r="Q6" i="9"/>
  <c r="P6" i="9"/>
  <c r="R5" i="9"/>
  <c r="Q5" i="9"/>
  <c r="P5" i="9"/>
  <c r="M22" i="8"/>
  <c r="L22" i="8"/>
  <c r="K22" i="8"/>
  <c r="M21" i="8"/>
  <c r="N21" i="8" s="1"/>
  <c r="L21" i="8"/>
  <c r="K21" i="8"/>
  <c r="M20" i="8"/>
  <c r="N20" i="8" s="1"/>
  <c r="L20" i="8"/>
  <c r="K20" i="8"/>
  <c r="M19" i="8"/>
  <c r="L19" i="8"/>
  <c r="K19" i="8"/>
  <c r="M18" i="8"/>
  <c r="L18" i="8"/>
  <c r="K18" i="8"/>
  <c r="M17" i="8"/>
  <c r="N17" i="8" s="1"/>
  <c r="L17" i="8"/>
  <c r="K17" i="8"/>
  <c r="M16" i="8"/>
  <c r="N16" i="8" s="1"/>
  <c r="L16" i="8"/>
  <c r="K16" i="8"/>
  <c r="M15" i="8"/>
  <c r="L15" i="8"/>
  <c r="K15" i="8"/>
  <c r="M14" i="8"/>
  <c r="L14" i="8"/>
  <c r="K14" i="8"/>
  <c r="M13" i="8"/>
  <c r="N13" i="8" s="1"/>
  <c r="L13" i="8"/>
  <c r="K13" i="8"/>
  <c r="M12" i="8"/>
  <c r="N12" i="8" s="1"/>
  <c r="L12" i="8"/>
  <c r="K12" i="8"/>
  <c r="M11" i="8"/>
  <c r="L11" i="8"/>
  <c r="K11" i="8"/>
  <c r="M10" i="8"/>
  <c r="L10" i="8"/>
  <c r="K10" i="8"/>
  <c r="M9" i="8"/>
  <c r="N9" i="8" s="1"/>
  <c r="L9" i="8"/>
  <c r="K9" i="8"/>
  <c r="M8" i="8"/>
  <c r="N8" i="8" s="1"/>
  <c r="L8" i="8"/>
  <c r="K8" i="8"/>
  <c r="M7" i="8"/>
  <c r="L7" i="8"/>
  <c r="K7" i="8"/>
  <c r="M6" i="8"/>
  <c r="L6" i="8"/>
  <c r="K6" i="8"/>
  <c r="M5" i="8"/>
  <c r="N5" i="8" s="1"/>
  <c r="L5" i="8"/>
  <c r="K5" i="8"/>
  <c r="L10" i="7"/>
  <c r="M10" i="7" s="1"/>
  <c r="K10" i="7"/>
  <c r="J10" i="7"/>
  <c r="L9" i="7"/>
  <c r="K9" i="7"/>
  <c r="J9" i="7"/>
  <c r="L8" i="7"/>
  <c r="K8" i="7"/>
  <c r="J8" i="7"/>
  <c r="L7" i="7"/>
  <c r="M7" i="7" s="1"/>
  <c r="K7" i="7"/>
  <c r="J7" i="7"/>
  <c r="L6" i="7"/>
  <c r="M6" i="7" s="1"/>
  <c r="K6" i="7"/>
  <c r="J6" i="7"/>
  <c r="L5" i="7"/>
  <c r="K5" i="7"/>
  <c r="J5" i="7"/>
  <c r="P34" i="6"/>
  <c r="O34" i="6"/>
  <c r="N34" i="6"/>
  <c r="P33" i="6"/>
  <c r="Q33" i="6" s="1"/>
  <c r="O33" i="6"/>
  <c r="N33" i="6"/>
  <c r="P32" i="6"/>
  <c r="Q32" i="6" s="1"/>
  <c r="O32" i="6"/>
  <c r="N32" i="6"/>
  <c r="P31" i="6"/>
  <c r="O31" i="6"/>
  <c r="N31" i="6"/>
  <c r="P30" i="6"/>
  <c r="O30" i="6"/>
  <c r="N30" i="6"/>
  <c r="P29" i="6"/>
  <c r="Q29" i="6" s="1"/>
  <c r="O29" i="6"/>
  <c r="N29" i="6"/>
  <c r="P28" i="6"/>
  <c r="Q28" i="6" s="1"/>
  <c r="O28" i="6"/>
  <c r="N28" i="6"/>
  <c r="P27" i="6"/>
  <c r="O27" i="6"/>
  <c r="N27" i="6"/>
  <c r="P26" i="6"/>
  <c r="O26" i="6"/>
  <c r="N26" i="6"/>
  <c r="P25" i="6"/>
  <c r="Q25" i="6" s="1"/>
  <c r="O25" i="6"/>
  <c r="N25" i="6"/>
  <c r="P24" i="6"/>
  <c r="Q24" i="6" s="1"/>
  <c r="O24" i="6"/>
  <c r="N24" i="6"/>
  <c r="P23" i="6"/>
  <c r="O23" i="6"/>
  <c r="N23" i="6"/>
  <c r="P22" i="6"/>
  <c r="O22" i="6"/>
  <c r="N22" i="6"/>
  <c r="P21" i="6"/>
  <c r="Q21" i="6" s="1"/>
  <c r="O21" i="6"/>
  <c r="N21" i="6"/>
  <c r="P20" i="6"/>
  <c r="Q20" i="6" s="1"/>
  <c r="O20" i="6"/>
  <c r="N20" i="6"/>
  <c r="P19" i="6"/>
  <c r="O19" i="6"/>
  <c r="N19" i="6"/>
  <c r="P18" i="6"/>
  <c r="O18" i="6"/>
  <c r="N18" i="6"/>
  <c r="P17" i="6"/>
  <c r="Q17" i="6" s="1"/>
  <c r="O17" i="6"/>
  <c r="N17" i="6"/>
  <c r="P16" i="6"/>
  <c r="Q16" i="6" s="1"/>
  <c r="O16" i="6"/>
  <c r="N16" i="6"/>
  <c r="P15" i="6"/>
  <c r="O15" i="6"/>
  <c r="N15" i="6"/>
  <c r="P14" i="6"/>
  <c r="O14" i="6"/>
  <c r="N14" i="6"/>
  <c r="P13" i="6"/>
  <c r="Q13" i="6" s="1"/>
  <c r="O13" i="6"/>
  <c r="N13" i="6"/>
  <c r="P12" i="6"/>
  <c r="Q12" i="6" s="1"/>
  <c r="O12" i="6"/>
  <c r="N12" i="6"/>
  <c r="P11" i="6"/>
  <c r="O11" i="6"/>
  <c r="N11" i="6"/>
  <c r="P10" i="6"/>
  <c r="O10" i="6"/>
  <c r="N10" i="6"/>
  <c r="P9" i="6"/>
  <c r="Q9" i="6" s="1"/>
  <c r="O9" i="6"/>
  <c r="N9" i="6"/>
  <c r="P8" i="6"/>
  <c r="Q8" i="6" s="1"/>
  <c r="O8" i="6"/>
  <c r="N8" i="6"/>
  <c r="P7" i="6"/>
  <c r="O7" i="6"/>
  <c r="N7" i="6"/>
  <c r="P6" i="6"/>
  <c r="O6" i="6"/>
  <c r="N6" i="6"/>
  <c r="P5" i="6"/>
  <c r="Q5" i="6" s="1"/>
  <c r="O5" i="6"/>
  <c r="N5" i="6"/>
  <c r="P44" i="5"/>
  <c r="Q44" i="5" s="1"/>
  <c r="O44" i="5"/>
  <c r="N44" i="5"/>
  <c r="P43" i="5"/>
  <c r="O43" i="5"/>
  <c r="N43" i="5"/>
  <c r="P42" i="5"/>
  <c r="O42" i="5"/>
  <c r="N42" i="5"/>
  <c r="P41" i="5"/>
  <c r="Q41" i="5" s="1"/>
  <c r="O41" i="5"/>
  <c r="N41" i="5"/>
  <c r="P40" i="5"/>
  <c r="Q40" i="5" s="1"/>
  <c r="O40" i="5"/>
  <c r="N40" i="5"/>
  <c r="P39" i="5"/>
  <c r="O39" i="5"/>
  <c r="N39" i="5"/>
  <c r="P38" i="5"/>
  <c r="O38" i="5"/>
  <c r="N38" i="5"/>
  <c r="P37" i="5"/>
  <c r="Q37" i="5" s="1"/>
  <c r="O37" i="5"/>
  <c r="N37" i="5"/>
  <c r="P36" i="5"/>
  <c r="Q36" i="5" s="1"/>
  <c r="O36" i="5"/>
  <c r="N36" i="5"/>
  <c r="P35" i="5"/>
  <c r="O35" i="5"/>
  <c r="N35" i="5"/>
  <c r="P34" i="5"/>
  <c r="O34" i="5"/>
  <c r="N34" i="5"/>
  <c r="P33" i="5"/>
  <c r="Q33" i="5" s="1"/>
  <c r="O33" i="5"/>
  <c r="N33" i="5"/>
  <c r="P32" i="5"/>
  <c r="Q32" i="5" s="1"/>
  <c r="O32" i="5"/>
  <c r="N32" i="5"/>
  <c r="P31" i="5"/>
  <c r="O31" i="5"/>
  <c r="N31" i="5"/>
  <c r="P30" i="5"/>
  <c r="O30" i="5"/>
  <c r="N30" i="5"/>
  <c r="P29" i="5"/>
  <c r="Q29" i="5" s="1"/>
  <c r="O29" i="5"/>
  <c r="N29" i="5"/>
  <c r="P28" i="5"/>
  <c r="Q28" i="5" s="1"/>
  <c r="O28" i="5"/>
  <c r="N28" i="5"/>
  <c r="P27" i="5"/>
  <c r="O27" i="5"/>
  <c r="N27" i="5"/>
  <c r="P26" i="5"/>
  <c r="O26" i="5"/>
  <c r="N26" i="5"/>
  <c r="P25" i="5"/>
  <c r="Q25" i="5" s="1"/>
  <c r="O25" i="5"/>
  <c r="N25" i="5"/>
  <c r="P24" i="5"/>
  <c r="Q24" i="5" s="1"/>
  <c r="O24" i="5"/>
  <c r="N24" i="5"/>
  <c r="P23" i="5"/>
  <c r="Q23" i="5" s="1"/>
  <c r="O23" i="5"/>
  <c r="N23" i="5"/>
  <c r="P22" i="5"/>
  <c r="O22" i="5"/>
  <c r="N22" i="5"/>
  <c r="P21" i="5"/>
  <c r="Q21" i="5" s="1"/>
  <c r="O21" i="5"/>
  <c r="N21" i="5"/>
  <c r="P20" i="5"/>
  <c r="Q20" i="5" s="1"/>
  <c r="O20" i="5"/>
  <c r="N20" i="5"/>
  <c r="P19" i="5"/>
  <c r="O19" i="5"/>
  <c r="N19" i="5"/>
  <c r="P18" i="5"/>
  <c r="O18" i="5"/>
  <c r="N18" i="5"/>
  <c r="P17" i="5"/>
  <c r="Q17" i="5" s="1"/>
  <c r="O17" i="5"/>
  <c r="N17" i="5"/>
  <c r="P16" i="5"/>
  <c r="Q16" i="5" s="1"/>
  <c r="O16" i="5"/>
  <c r="N16" i="5"/>
  <c r="P15" i="5"/>
  <c r="O15" i="5"/>
  <c r="N15" i="5"/>
  <c r="P14" i="5"/>
  <c r="O14" i="5"/>
  <c r="N14" i="5"/>
  <c r="P13" i="5"/>
  <c r="Q13" i="5" s="1"/>
  <c r="O13" i="5"/>
  <c r="N13" i="5"/>
  <c r="P12" i="5"/>
  <c r="Q12" i="5" s="1"/>
  <c r="O12" i="5"/>
  <c r="N12" i="5"/>
  <c r="P11" i="5"/>
  <c r="O11" i="5"/>
  <c r="N11" i="5"/>
  <c r="P10" i="5"/>
  <c r="O10" i="5"/>
  <c r="N10" i="5"/>
  <c r="P9" i="5"/>
  <c r="Q9" i="5" s="1"/>
  <c r="O9" i="5"/>
  <c r="N9" i="5"/>
  <c r="P8" i="5"/>
  <c r="Q8" i="5" s="1"/>
  <c r="O8" i="5"/>
  <c r="N8" i="5"/>
  <c r="P7" i="5"/>
  <c r="O7" i="5"/>
  <c r="N7" i="5"/>
  <c r="P6" i="5"/>
  <c r="O6" i="5"/>
  <c r="N6" i="5"/>
  <c r="P5" i="5"/>
  <c r="Q5" i="5" s="1"/>
  <c r="O5" i="5"/>
  <c r="N5" i="5"/>
  <c r="P10" i="4"/>
  <c r="Q10" i="4" s="1"/>
  <c r="O10" i="4"/>
  <c r="N10" i="4"/>
  <c r="P9" i="4"/>
  <c r="O9" i="4"/>
  <c r="N9" i="4"/>
  <c r="P8" i="4"/>
  <c r="O8" i="4"/>
  <c r="N8" i="4"/>
  <c r="P7" i="4"/>
  <c r="Q7" i="4" s="1"/>
  <c r="O7" i="4"/>
  <c r="N7" i="4"/>
  <c r="P6" i="4"/>
  <c r="Q6" i="4" s="1"/>
  <c r="O6" i="4"/>
  <c r="N6" i="4"/>
  <c r="P5" i="4"/>
  <c r="O5" i="4"/>
  <c r="N5" i="4"/>
  <c r="N124" i="3"/>
  <c r="M124" i="3"/>
  <c r="N123" i="3"/>
  <c r="M123" i="3"/>
  <c r="N122" i="3"/>
  <c r="M122" i="3"/>
  <c r="N121" i="3"/>
  <c r="M121" i="3"/>
  <c r="N120" i="3"/>
  <c r="M120" i="3"/>
  <c r="N119" i="3"/>
  <c r="M119" i="3"/>
  <c r="N118" i="3"/>
  <c r="M118" i="3"/>
  <c r="N117" i="3"/>
  <c r="M117" i="3"/>
  <c r="N116" i="3"/>
  <c r="M116" i="3"/>
  <c r="N115" i="3"/>
  <c r="M115" i="3"/>
  <c r="N114" i="3"/>
  <c r="M114" i="3"/>
  <c r="N113" i="3"/>
  <c r="M113" i="3"/>
  <c r="N112" i="3"/>
  <c r="M112" i="3"/>
  <c r="N111" i="3"/>
  <c r="M111" i="3"/>
  <c r="N110" i="3"/>
  <c r="M110" i="3"/>
  <c r="N109" i="3"/>
  <c r="M109" i="3"/>
  <c r="N108" i="3"/>
  <c r="M108" i="3"/>
  <c r="N107" i="3"/>
  <c r="M107" i="3"/>
  <c r="N106" i="3"/>
  <c r="M106" i="3"/>
  <c r="N105" i="3"/>
  <c r="M105" i="3"/>
  <c r="N104" i="3"/>
  <c r="M104" i="3"/>
  <c r="N103" i="3"/>
  <c r="M103" i="3"/>
  <c r="N102" i="3"/>
  <c r="M102" i="3"/>
  <c r="N101" i="3"/>
  <c r="M101" i="3"/>
  <c r="N100" i="3"/>
  <c r="M100" i="3"/>
  <c r="N99" i="3"/>
  <c r="M99" i="3"/>
  <c r="N98" i="3"/>
  <c r="M98" i="3"/>
  <c r="N97" i="3"/>
  <c r="M97" i="3"/>
  <c r="N96" i="3"/>
  <c r="M96" i="3"/>
  <c r="N95" i="3"/>
  <c r="M95" i="3"/>
  <c r="N94" i="3"/>
  <c r="M94" i="3"/>
  <c r="N93" i="3"/>
  <c r="M93" i="3"/>
  <c r="N92" i="3"/>
  <c r="M92" i="3"/>
  <c r="N91" i="3"/>
  <c r="M91" i="3"/>
  <c r="N90" i="3"/>
  <c r="M90" i="3"/>
  <c r="N89" i="3"/>
  <c r="M89" i="3"/>
  <c r="N88" i="3"/>
  <c r="M88" i="3"/>
  <c r="N87" i="3"/>
  <c r="M87" i="3"/>
  <c r="N86" i="3"/>
  <c r="M86" i="3"/>
  <c r="N85" i="3"/>
  <c r="M85" i="3"/>
  <c r="N84" i="3"/>
  <c r="M84" i="3"/>
  <c r="N83" i="3"/>
  <c r="M83" i="3"/>
  <c r="N82" i="3"/>
  <c r="M82" i="3"/>
  <c r="N81" i="3"/>
  <c r="M81" i="3"/>
  <c r="N80" i="3"/>
  <c r="M80" i="3"/>
  <c r="N79" i="3"/>
  <c r="M79" i="3"/>
  <c r="N78" i="3"/>
  <c r="M78" i="3"/>
  <c r="N77" i="3"/>
  <c r="M77" i="3"/>
  <c r="N76" i="3"/>
  <c r="M76" i="3"/>
  <c r="N75" i="3"/>
  <c r="M75" i="3"/>
  <c r="N74" i="3"/>
  <c r="M74" i="3"/>
  <c r="N73" i="3"/>
  <c r="M73" i="3"/>
  <c r="N72" i="3"/>
  <c r="M72" i="3"/>
  <c r="N71" i="3"/>
  <c r="M71" i="3"/>
  <c r="N70" i="3"/>
  <c r="M70" i="3"/>
  <c r="N69" i="3"/>
  <c r="M69" i="3"/>
  <c r="N68" i="3"/>
  <c r="M68" i="3"/>
  <c r="N67" i="3"/>
  <c r="M67" i="3"/>
  <c r="N66" i="3"/>
  <c r="M66" i="3"/>
  <c r="N65" i="3"/>
  <c r="M65" i="3"/>
  <c r="N64" i="3"/>
  <c r="M64" i="3"/>
  <c r="N63" i="3"/>
  <c r="M63" i="3"/>
  <c r="N62" i="3"/>
  <c r="M62" i="3"/>
  <c r="N61" i="3"/>
  <c r="M61" i="3"/>
  <c r="N60" i="3"/>
  <c r="M60" i="3"/>
  <c r="N59" i="3"/>
  <c r="M59" i="3"/>
  <c r="N58" i="3"/>
  <c r="M58" i="3"/>
  <c r="N57" i="3"/>
  <c r="M57" i="3"/>
  <c r="N56" i="3"/>
  <c r="M56" i="3"/>
  <c r="N55" i="3"/>
  <c r="M55" i="3"/>
  <c r="N54" i="3"/>
  <c r="M54" i="3"/>
  <c r="N53" i="3"/>
  <c r="M53" i="3"/>
  <c r="N52" i="3"/>
  <c r="M52" i="3"/>
  <c r="N51" i="3"/>
  <c r="M51" i="3"/>
  <c r="N50" i="3"/>
  <c r="M50" i="3"/>
  <c r="N49" i="3"/>
  <c r="M49" i="3"/>
  <c r="N48" i="3"/>
  <c r="M48" i="3"/>
  <c r="N47" i="3"/>
  <c r="M47" i="3"/>
  <c r="N46" i="3"/>
  <c r="M46" i="3"/>
  <c r="N45" i="3"/>
  <c r="M45" i="3"/>
  <c r="N44" i="3"/>
  <c r="M44" i="3"/>
  <c r="N43" i="3"/>
  <c r="M43" i="3"/>
  <c r="N42" i="3"/>
  <c r="M42" i="3"/>
  <c r="N41" i="3"/>
  <c r="M41" i="3"/>
  <c r="N40" i="3"/>
  <c r="M40" i="3"/>
  <c r="N39" i="3"/>
  <c r="M39" i="3"/>
  <c r="N38" i="3"/>
  <c r="M38" i="3"/>
  <c r="N37" i="3"/>
  <c r="M37" i="3"/>
  <c r="N36" i="3"/>
  <c r="M36" i="3"/>
  <c r="N35" i="3"/>
  <c r="M35" i="3"/>
  <c r="N34" i="3"/>
  <c r="M34" i="3"/>
  <c r="N33" i="3"/>
  <c r="M33" i="3"/>
  <c r="N32" i="3"/>
  <c r="M32" i="3"/>
  <c r="N31" i="3"/>
  <c r="M31" i="3"/>
  <c r="N30" i="3"/>
  <c r="M30" i="3"/>
  <c r="N29" i="3"/>
  <c r="M29" i="3"/>
  <c r="N28" i="3"/>
  <c r="M28" i="3"/>
  <c r="N27" i="3"/>
  <c r="M27" i="3"/>
  <c r="N26" i="3"/>
  <c r="M26" i="3"/>
  <c r="N25" i="3"/>
  <c r="M25" i="3"/>
  <c r="N24" i="3"/>
  <c r="M24" i="3"/>
  <c r="N23" i="3"/>
  <c r="M23" i="3"/>
  <c r="N22" i="3"/>
  <c r="M22" i="3"/>
  <c r="N21" i="3"/>
  <c r="M21" i="3"/>
  <c r="N20" i="3"/>
  <c r="M20" i="3"/>
  <c r="N19" i="3"/>
  <c r="M19" i="3"/>
  <c r="N18" i="3"/>
  <c r="M18" i="3"/>
  <c r="N17" i="3"/>
  <c r="M17" i="3"/>
  <c r="N16" i="3"/>
  <c r="M16" i="3"/>
  <c r="N15" i="3"/>
  <c r="M15" i="3"/>
  <c r="N14" i="3"/>
  <c r="M14" i="3"/>
  <c r="N13" i="3"/>
  <c r="M13" i="3"/>
  <c r="N12" i="3"/>
  <c r="M12" i="3"/>
  <c r="N11" i="3"/>
  <c r="M11" i="3"/>
  <c r="N10" i="3"/>
  <c r="M10" i="3"/>
  <c r="N9" i="3"/>
  <c r="M9" i="3"/>
  <c r="N8" i="3"/>
  <c r="M8" i="3"/>
  <c r="N7" i="3"/>
  <c r="M7" i="3"/>
  <c r="N6" i="3"/>
  <c r="M6" i="3"/>
  <c r="N5" i="3"/>
  <c r="M5" i="3"/>
  <c r="Q26" i="5" l="1"/>
  <c r="Q18" i="6"/>
  <c r="Q30" i="6"/>
  <c r="N6" i="8"/>
  <c r="N10" i="8"/>
  <c r="N18" i="8"/>
  <c r="S12" i="9"/>
  <c r="S16" i="9"/>
  <c r="S24" i="9"/>
  <c r="S32" i="9"/>
  <c r="S44" i="9"/>
  <c r="Q10" i="10"/>
  <c r="Q18" i="10"/>
  <c r="Q26" i="10"/>
  <c r="Q34" i="10"/>
  <c r="Q42" i="10"/>
  <c r="Q6" i="5"/>
  <c r="Q34" i="5"/>
  <c r="Q10" i="6"/>
  <c r="Q34" i="6"/>
  <c r="N14" i="8"/>
  <c r="N22" i="8"/>
  <c r="S8" i="9"/>
  <c r="S20" i="9"/>
  <c r="S28" i="9"/>
  <c r="S36" i="9"/>
  <c r="S40" i="9"/>
  <c r="Q6" i="10"/>
  <c r="Q14" i="10"/>
  <c r="Q22" i="10"/>
  <c r="Q30" i="10"/>
  <c r="Q38" i="10"/>
  <c r="Q46" i="10"/>
  <c r="Q8" i="4"/>
  <c r="Q14" i="5"/>
  <c r="Q18" i="5"/>
  <c r="Q38" i="5"/>
  <c r="Q22" i="6"/>
  <c r="Q26" i="6"/>
  <c r="M8" i="7"/>
  <c r="Q5" i="4"/>
  <c r="Q9" i="4"/>
  <c r="Q7" i="5"/>
  <c r="Q11" i="5"/>
  <c r="Q15" i="5"/>
  <c r="Q19" i="5"/>
  <c r="Q27" i="5"/>
  <c r="Q31" i="5"/>
  <c r="Q39" i="5"/>
  <c r="Q7" i="6"/>
  <c r="Q15" i="6"/>
  <c r="Q23" i="6"/>
  <c r="Q27" i="6"/>
  <c r="M5" i="7"/>
  <c r="N7" i="8"/>
  <c r="N19" i="8"/>
  <c r="S5" i="9"/>
  <c r="S9" i="9"/>
  <c r="S21" i="9"/>
  <c r="S29" i="9"/>
  <c r="S33" i="9"/>
  <c r="S45" i="9"/>
  <c r="Q7" i="10"/>
  <c r="Q11" i="10"/>
  <c r="Q23" i="10"/>
  <c r="Q31" i="10"/>
  <c r="Q43" i="10"/>
  <c r="Q35" i="5"/>
  <c r="Q43" i="5"/>
  <c r="Q11" i="6"/>
  <c r="Q19" i="6"/>
  <c r="Q31" i="6"/>
  <c r="M9" i="7"/>
  <c r="N11" i="8"/>
  <c r="N15" i="8"/>
  <c r="S13" i="9"/>
  <c r="S17" i="9"/>
  <c r="S25" i="9"/>
  <c r="S37" i="9"/>
  <c r="S41" i="9"/>
  <c r="Q15" i="10"/>
  <c r="Q19" i="10"/>
  <c r="Q27" i="10"/>
  <c r="Q35" i="10"/>
  <c r="Q39" i="10"/>
  <c r="Q47" i="10"/>
  <c r="Q42" i="5"/>
  <c r="Q30" i="5"/>
  <c r="Q6" i="6"/>
  <c r="Q10" i="5"/>
  <c r="Q22" i="5"/>
  <c r="Q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LEBR 核對</author>
  </authors>
  <commentList>
    <comment ref="G4" authorId="0" shapeId="0" xr:uid="{00000000-0006-0000-0100-000001000000}">
      <text>
        <r>
          <rPr>
            <sz val="11"/>
            <color theme="1"/>
            <rFont val="新細明體"/>
            <family val="2"/>
            <scheme val="minor"/>
          </rPr>
          <t>你們決定採用哪個值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LEBR 核對</author>
  </authors>
  <commentList>
    <comment ref="A4" authorId="0" shapeId="0" xr:uid="{00000000-0006-0000-0200-000001000000}">
      <text>
        <r>
          <rPr>
            <sz val="11"/>
            <color theme="1"/>
            <rFont val="新細明體"/>
            <family val="2"/>
            <scheme val="minor"/>
          </rPr>
          <t>程式給的流水號，手冊沒有</t>
        </r>
      </text>
    </comment>
    <comment ref="J4" authorId="0" shapeId="0" xr:uid="{00000000-0006-0000-0200-000002000000}">
      <text>
        <r>
          <rPr>
            <sz val="11"/>
            <color theme="1"/>
            <rFont val="新細明體"/>
            <family val="2"/>
            <scheme val="minor"/>
          </rPr>
          <t>手冊上這格橫跨好幾個階段時，數字放在第一個階段欄，這裡寫出跨了哪幾欄</t>
        </r>
      </text>
    </comment>
    <comment ref="M4" authorId="0" shapeId="0" xr:uid="{00000000-0006-0000-0200-000003000000}">
      <text>
        <r>
          <rPr>
            <sz val="11"/>
            <color theme="1"/>
            <rFont val="新細明體"/>
            <family val="2"/>
            <scheme val="minor"/>
          </rPr>
          <t>公式：A1+A2+A3+A4</t>
        </r>
      </text>
    </comment>
    <comment ref="N4" authorId="0" shapeId="0" xr:uid="{00000000-0006-0000-0200-000004000000}">
      <text>
        <r>
          <rPr>
            <sz val="11"/>
            <color theme="1"/>
            <rFont val="新細明體"/>
            <family val="2"/>
            <scheme val="minor"/>
          </rPr>
          <t>加總和總量差 0.015 以內算通過</t>
        </r>
      </text>
    </comment>
    <comment ref="O4" authorId="0" shapeId="0" xr:uid="{00000000-0006-0000-0200-000005000000}">
      <text>
        <r>
          <rPr>
            <sz val="11"/>
            <color theme="1"/>
            <rFont val="新細明體"/>
            <family val="2"/>
            <scheme val="minor"/>
          </rPr>
          <t>用 PDF 純文字（不靠表格結構）確認這列數字真的出現在該頁</t>
        </r>
      </text>
    </comment>
    <comment ref="P4" authorId="0" shapeId="0" xr:uid="{00000000-0006-0000-0200-000006000000}">
      <text>
        <r>
          <rPr>
            <sz val="11"/>
            <color theme="1"/>
            <rFont val="新細明體"/>
            <family val="2"/>
            <scheme val="minor"/>
          </rPr>
          <t>下拉選單：✓ 正確 / ✗ 有誤 / ? 不確定</t>
        </r>
      </text>
    </comment>
    <comment ref="Q4" authorId="0" shapeId="0" xr:uid="{00000000-0006-0000-0200-000007000000}">
      <text>
        <r>
          <rPr>
            <sz val="11"/>
            <color theme="1"/>
            <rFont val="新細明體"/>
            <family val="2"/>
            <scheme val="minor"/>
          </rPr>
          <t>看到什麼問題寫在這裡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LEBR 核對</author>
  </authors>
  <commentList>
    <comment ref="A4" authorId="0" shapeId="0" xr:uid="{00000000-0006-0000-0300-000001000000}">
      <text>
        <r>
          <rPr>
            <sz val="11"/>
            <color theme="1"/>
            <rFont val="新細明體"/>
            <family val="2"/>
            <scheme val="minor"/>
          </rPr>
          <t>程式提的編號草案，將來填在 Revit 類型參數 LEBR_Code</t>
        </r>
      </text>
    </comment>
    <comment ref="B4" authorId="0" shapeId="0" xr:uid="{00000000-0006-0000-0300-000002000000}">
      <text>
        <r>
          <rPr>
            <sz val="11"/>
            <color theme="1"/>
            <rFont val="新細明體"/>
            <family val="2"/>
            <scheme val="minor"/>
          </rPr>
          <t>藍底 = 該組的比較基準構件</t>
        </r>
      </text>
    </comment>
    <comment ref="H4" authorId="0" shapeId="0" xr:uid="{00000000-0006-0000-0300-000003000000}">
      <text>
        <r>
          <rPr>
            <sz val="11"/>
            <color theme="1"/>
            <rFont val="新細明體"/>
            <family val="2"/>
            <scheme val="minor"/>
          </rPr>
          <t>手冊未分基層/表層的表，這兩欄填同一個數字</t>
        </r>
      </text>
    </comment>
    <comment ref="K4" authorId="0" shapeId="0" xr:uid="{00000000-0006-0000-0300-000004000000}">
      <text>
        <r>
          <rPr>
            <sz val="11"/>
            <color theme="1"/>
            <rFont val="新細明體"/>
            <family val="2"/>
            <scheme val="minor"/>
          </rPr>
          <t>負數 = 比基準低碳</t>
        </r>
      </text>
    </comment>
    <comment ref="P4" authorId="0" shapeId="0" xr:uid="{00000000-0006-0000-0300-000005000000}">
      <text>
        <r>
          <rPr>
            <sz val="11"/>
            <color theme="1"/>
            <rFont val="新細明體"/>
            <family val="2"/>
            <scheme val="minor"/>
          </rPr>
          <t>本構件(F+F*) − 基準(F+F*)</t>
        </r>
      </text>
    </comment>
    <comment ref="Q4" authorId="0" shapeId="0" xr:uid="{00000000-0006-0000-0300-000006000000}">
      <text>
        <r>
          <rPr>
            <sz val="11"/>
            <color theme="1"/>
            <rFont val="新細明體"/>
            <family val="2"/>
            <scheme val="minor"/>
          </rPr>
          <t>三項驗算和手冊值差 0.02 以內算通過</t>
        </r>
      </text>
    </comment>
    <comment ref="R4" authorId="0" shapeId="0" xr:uid="{00000000-0006-0000-0300-000007000000}">
      <text>
        <r>
          <rPr>
            <sz val="11"/>
            <color theme="1"/>
            <rFont val="新細明體"/>
            <family val="2"/>
            <scheme val="minor"/>
          </rPr>
          <t>用 PDF 純文字確認這列數字真的出現在該頁</t>
        </r>
      </text>
    </comment>
    <comment ref="S4" authorId="0" shapeId="0" xr:uid="{00000000-0006-0000-0300-000008000000}">
      <text>
        <r>
          <rPr>
            <sz val="11"/>
            <color theme="1"/>
            <rFont val="新細明體"/>
            <family val="2"/>
            <scheme val="minor"/>
          </rPr>
          <t>下拉選單：✓ 正確 / ✗ 有誤 / ? 不確定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LEBR 核對</author>
  </authors>
  <commentList>
    <comment ref="A4" authorId="0" shapeId="0" xr:uid="{00000000-0006-0000-0400-000001000000}">
      <text>
        <r>
          <rPr>
            <sz val="11"/>
            <color theme="1"/>
            <rFont val="新細明體"/>
            <family val="2"/>
            <scheme val="minor"/>
          </rPr>
          <t>程式提的編號草案，將來填在 Revit 類型參數 LEBR_Code</t>
        </r>
      </text>
    </comment>
    <comment ref="C4" authorId="0" shapeId="0" xr:uid="{00000000-0006-0000-0400-000002000000}">
      <text>
        <r>
          <rPr>
            <sz val="11"/>
            <color theme="1"/>
            <rFont val="新細明體"/>
            <family val="2"/>
            <scheme val="minor"/>
          </rPr>
          <t>藍底 = 該組的比較基準構件</t>
        </r>
      </text>
    </comment>
    <comment ref="H4" authorId="0" shapeId="0" xr:uid="{00000000-0006-0000-0400-000003000000}">
      <text>
        <r>
          <rPr>
            <sz val="11"/>
            <color theme="1"/>
            <rFont val="新細明體"/>
            <family val="2"/>
            <scheme val="minor"/>
          </rPr>
          <t>手冊未分基層/表層的表，這兩欄填同一個數字</t>
        </r>
      </text>
    </comment>
    <comment ref="K4" authorId="0" shapeId="0" xr:uid="{00000000-0006-0000-0400-000004000000}">
      <text>
        <r>
          <rPr>
            <sz val="11"/>
            <color theme="1"/>
            <rFont val="新細明體"/>
            <family val="2"/>
            <scheme val="minor"/>
          </rPr>
          <t>負數 = 比基準低碳</t>
        </r>
      </text>
    </comment>
    <comment ref="P4" authorId="0" shapeId="0" xr:uid="{00000000-0006-0000-0400-000005000000}">
      <text>
        <r>
          <rPr>
            <sz val="11"/>
            <color theme="1"/>
            <rFont val="新細明體"/>
            <family val="2"/>
            <scheme val="minor"/>
          </rPr>
          <t>本構件(F+F*) − 基準(F+F*)</t>
        </r>
      </text>
    </comment>
    <comment ref="Q4" authorId="0" shapeId="0" xr:uid="{00000000-0006-0000-0400-000006000000}">
      <text>
        <r>
          <rPr>
            <sz val="11"/>
            <color theme="1"/>
            <rFont val="新細明體"/>
            <family val="2"/>
            <scheme val="minor"/>
          </rPr>
          <t>三項驗算和手冊值差 0.02 以內算通過</t>
        </r>
      </text>
    </comment>
    <comment ref="R4" authorId="0" shapeId="0" xr:uid="{00000000-0006-0000-0400-000007000000}">
      <text>
        <r>
          <rPr>
            <sz val="11"/>
            <color theme="1"/>
            <rFont val="新細明體"/>
            <family val="2"/>
            <scheme val="minor"/>
          </rPr>
          <t>用 PDF 純文字確認這列數字真的出現在該頁</t>
        </r>
      </text>
    </comment>
    <comment ref="S4" authorId="0" shapeId="0" xr:uid="{00000000-0006-0000-0400-000008000000}">
      <text>
        <r>
          <rPr>
            <sz val="11"/>
            <color theme="1"/>
            <rFont val="新細明體"/>
            <family val="2"/>
            <scheme val="minor"/>
          </rPr>
          <t>下拉選單：✓ 正確 / ✗ 有誤 / ? 不確定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LEBR 核對</author>
  </authors>
  <commentList>
    <comment ref="A4" authorId="0" shapeId="0" xr:uid="{00000000-0006-0000-0500-000001000000}">
      <text>
        <r>
          <rPr>
            <sz val="11"/>
            <color theme="1"/>
            <rFont val="新細明體"/>
            <family val="2"/>
            <scheme val="minor"/>
          </rPr>
          <t>程式提的編號草案，將來填在 Revit 類型參數 LEBR_Code</t>
        </r>
      </text>
    </comment>
    <comment ref="C4" authorId="0" shapeId="0" xr:uid="{00000000-0006-0000-0500-000002000000}">
      <text>
        <r>
          <rPr>
            <sz val="11"/>
            <color theme="1"/>
            <rFont val="新細明體"/>
            <family val="2"/>
            <scheme val="minor"/>
          </rPr>
          <t>藍底 = 該組的比較基準構件</t>
        </r>
      </text>
    </comment>
    <comment ref="H4" authorId="0" shapeId="0" xr:uid="{00000000-0006-0000-0500-000003000000}">
      <text>
        <r>
          <rPr>
            <sz val="11"/>
            <color theme="1"/>
            <rFont val="新細明體"/>
            <family val="2"/>
            <scheme val="minor"/>
          </rPr>
          <t>手冊未分基層/表層的表，這兩欄填同一個數字</t>
        </r>
      </text>
    </comment>
    <comment ref="K4" authorId="0" shapeId="0" xr:uid="{00000000-0006-0000-0500-000004000000}">
      <text>
        <r>
          <rPr>
            <sz val="11"/>
            <color theme="1"/>
            <rFont val="新細明體"/>
            <family val="2"/>
            <scheme val="minor"/>
          </rPr>
          <t>負數 = 比基準低碳</t>
        </r>
      </text>
    </comment>
    <comment ref="P4" authorId="0" shapeId="0" xr:uid="{00000000-0006-0000-0500-000005000000}">
      <text>
        <r>
          <rPr>
            <sz val="11"/>
            <color theme="1"/>
            <rFont val="新細明體"/>
            <family val="2"/>
            <scheme val="minor"/>
          </rPr>
          <t>本構件(F+F*) − 基準(F+F*)</t>
        </r>
      </text>
    </comment>
    <comment ref="Q4" authorId="0" shapeId="0" xr:uid="{00000000-0006-0000-0500-000006000000}">
      <text>
        <r>
          <rPr>
            <sz val="11"/>
            <color theme="1"/>
            <rFont val="新細明體"/>
            <family val="2"/>
            <scheme val="minor"/>
          </rPr>
          <t>三項驗算和手冊值差 0.02 以內算通過</t>
        </r>
      </text>
    </comment>
    <comment ref="R4" authorId="0" shapeId="0" xr:uid="{00000000-0006-0000-0500-000007000000}">
      <text>
        <r>
          <rPr>
            <sz val="11"/>
            <color theme="1"/>
            <rFont val="新細明體"/>
            <family val="2"/>
            <scheme val="minor"/>
          </rPr>
          <t>用 PDF 純文字確認這列數字真的出現在該頁</t>
        </r>
      </text>
    </comment>
    <comment ref="S4" authorId="0" shapeId="0" xr:uid="{00000000-0006-0000-0500-000008000000}">
      <text>
        <r>
          <rPr>
            <sz val="11"/>
            <color theme="1"/>
            <rFont val="新細明體"/>
            <family val="2"/>
            <scheme val="minor"/>
          </rPr>
          <t>下拉選單：✓ 正確 / ✗ 有誤 / ? 不確定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LEBR 核對</author>
  </authors>
  <commentList>
    <comment ref="A4" authorId="0" shapeId="0" xr:uid="{00000000-0006-0000-0600-000001000000}">
      <text>
        <r>
          <rPr>
            <sz val="11"/>
            <color theme="1"/>
            <rFont val="新細明體"/>
            <family val="2"/>
            <scheme val="minor"/>
          </rPr>
          <t>程式提的編號草案，將來填在 Revit 類型參數 LEBR_Code</t>
        </r>
      </text>
    </comment>
    <comment ref="B4" authorId="0" shapeId="0" xr:uid="{00000000-0006-0000-0600-000002000000}">
      <text>
        <r>
          <rPr>
            <sz val="11"/>
            <color theme="1"/>
            <rFont val="新細明體"/>
            <family val="2"/>
            <scheme val="minor"/>
          </rPr>
          <t>藍底 = 該組的比較基準構件</t>
        </r>
      </text>
    </comment>
    <comment ref="D4" authorId="0" shapeId="0" xr:uid="{00000000-0006-0000-0600-000003000000}">
      <text>
        <r>
          <rPr>
            <sz val="11"/>
            <color theme="1"/>
            <rFont val="新細明體"/>
            <family val="2"/>
            <scheme val="minor"/>
          </rPr>
          <t>手冊未分基層/表層的表，這兩欄填同一個數字</t>
        </r>
      </text>
    </comment>
    <comment ref="G4" authorId="0" shapeId="0" xr:uid="{00000000-0006-0000-0600-000004000000}">
      <text>
        <r>
          <rPr>
            <sz val="11"/>
            <color theme="1"/>
            <rFont val="新細明體"/>
            <family val="2"/>
            <scheme val="minor"/>
          </rPr>
          <t>負數 = 比基準低碳</t>
        </r>
      </text>
    </comment>
    <comment ref="L4" authorId="0" shapeId="0" xr:uid="{00000000-0006-0000-0600-000005000000}">
      <text>
        <r>
          <rPr>
            <sz val="11"/>
            <color theme="1"/>
            <rFont val="新細明體"/>
            <family val="2"/>
            <scheme val="minor"/>
          </rPr>
          <t>本構件(F+F*) − 基準(F+F*)</t>
        </r>
      </text>
    </comment>
    <comment ref="M4" authorId="0" shapeId="0" xr:uid="{00000000-0006-0000-0600-000006000000}">
      <text>
        <r>
          <rPr>
            <sz val="11"/>
            <color theme="1"/>
            <rFont val="新細明體"/>
            <family val="2"/>
            <scheme val="minor"/>
          </rPr>
          <t>三項驗算和手冊值差 0.02 以內算通過</t>
        </r>
      </text>
    </comment>
    <comment ref="N4" authorId="0" shapeId="0" xr:uid="{00000000-0006-0000-0600-000007000000}">
      <text>
        <r>
          <rPr>
            <sz val="11"/>
            <color theme="1"/>
            <rFont val="新細明體"/>
            <family val="2"/>
            <scheme val="minor"/>
          </rPr>
          <t>用 PDF 純文字確認這列數字真的出現在該頁</t>
        </r>
      </text>
    </comment>
    <comment ref="O4" authorId="0" shapeId="0" xr:uid="{00000000-0006-0000-0600-000008000000}">
      <text>
        <r>
          <rPr>
            <sz val="11"/>
            <color theme="1"/>
            <rFont val="新細明體"/>
            <family val="2"/>
            <scheme val="minor"/>
          </rPr>
          <t>下拉選單：✓ 正確 / ✗ 有誤 / ? 不確定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LEBR 核對</author>
  </authors>
  <commentList>
    <comment ref="A4" authorId="0" shapeId="0" xr:uid="{00000000-0006-0000-0700-000001000000}">
      <text>
        <r>
          <rPr>
            <sz val="11"/>
            <color theme="1"/>
            <rFont val="新細明體"/>
            <family val="2"/>
            <scheme val="minor"/>
          </rPr>
          <t>程式提的編號草案，將來填在 Revit 類型參數 LEBR_Code</t>
        </r>
      </text>
    </comment>
    <comment ref="B4" authorId="0" shapeId="0" xr:uid="{00000000-0006-0000-0700-000002000000}">
      <text>
        <r>
          <rPr>
            <sz val="11"/>
            <color theme="1"/>
            <rFont val="新細明體"/>
            <family val="2"/>
            <scheme val="minor"/>
          </rPr>
          <t>高耗損：商場旅館餐廳醫療等；中耗損：出租辦公、學校、廳舍；低耗損：住宅、自用辦公</t>
        </r>
      </text>
    </comment>
    <comment ref="C4" authorId="0" shapeId="0" xr:uid="{00000000-0006-0000-0700-000003000000}">
      <text>
        <r>
          <rPr>
            <sz val="11"/>
            <color theme="1"/>
            <rFont val="新細明體"/>
            <family val="2"/>
            <scheme val="minor"/>
          </rPr>
          <t>藍底 = 該組的比較基準構件</t>
        </r>
      </text>
    </comment>
    <comment ref="E4" authorId="0" shapeId="0" xr:uid="{00000000-0006-0000-0700-000004000000}">
      <text>
        <r>
          <rPr>
            <sz val="11"/>
            <color theme="1"/>
            <rFont val="新細明體"/>
            <family val="2"/>
            <scheme val="minor"/>
          </rPr>
          <t>手冊未分基層/表層的表，這兩欄填同一個數字</t>
        </r>
      </text>
    </comment>
    <comment ref="H4" authorId="0" shapeId="0" xr:uid="{00000000-0006-0000-0700-000005000000}">
      <text>
        <r>
          <rPr>
            <sz val="11"/>
            <color theme="1"/>
            <rFont val="新細明體"/>
            <family val="2"/>
            <scheme val="minor"/>
          </rPr>
          <t>負數 = 比基準低碳</t>
        </r>
      </text>
    </comment>
    <comment ref="M4" authorId="0" shapeId="0" xr:uid="{00000000-0006-0000-0700-000006000000}">
      <text>
        <r>
          <rPr>
            <sz val="11"/>
            <color theme="1"/>
            <rFont val="新細明體"/>
            <family val="2"/>
            <scheme val="minor"/>
          </rPr>
          <t>本構件(F+F*) − 基準(F+F*)</t>
        </r>
      </text>
    </comment>
    <comment ref="N4" authorId="0" shapeId="0" xr:uid="{00000000-0006-0000-0700-000007000000}">
      <text>
        <r>
          <rPr>
            <sz val="11"/>
            <color theme="1"/>
            <rFont val="新細明體"/>
            <family val="2"/>
            <scheme val="minor"/>
          </rPr>
          <t>三項驗算和手冊值差 0.02 以內算通過</t>
        </r>
      </text>
    </comment>
    <comment ref="O4" authorId="0" shapeId="0" xr:uid="{00000000-0006-0000-0700-000008000000}">
      <text>
        <r>
          <rPr>
            <sz val="11"/>
            <color theme="1"/>
            <rFont val="新細明體"/>
            <family val="2"/>
            <scheme val="minor"/>
          </rPr>
          <t>用 PDF 純文字確認這列數字真的出現在該頁</t>
        </r>
      </text>
    </comment>
    <comment ref="P4" authorId="0" shapeId="0" xr:uid="{00000000-0006-0000-0700-000009000000}">
      <text>
        <r>
          <rPr>
            <sz val="11"/>
            <color theme="1"/>
            <rFont val="新細明體"/>
            <family val="2"/>
            <scheme val="minor"/>
          </rPr>
          <t>下拉選單：✓ 正確 / ✗ 有誤 / ? 不確定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LEBR 核對</author>
  </authors>
  <commentList>
    <comment ref="A4" authorId="0" shapeId="0" xr:uid="{00000000-0006-0000-0800-000001000000}">
      <text>
        <r>
          <rPr>
            <sz val="11"/>
            <color theme="1"/>
            <rFont val="新細明體"/>
            <family val="2"/>
            <scheme val="minor"/>
          </rPr>
          <t>程式提的編號草案，將來填在 Revit 類型參數 LEBR_Code</t>
        </r>
      </text>
    </comment>
    <comment ref="B4" authorId="0" shapeId="0" xr:uid="{00000000-0006-0000-0800-000002000000}">
      <text>
        <r>
          <rPr>
            <sz val="11"/>
            <color theme="1"/>
            <rFont val="新細明體"/>
            <family val="2"/>
            <scheme val="minor"/>
          </rPr>
          <t>高耗損：商場旅館餐廳醫療等；中耗損：出租辦公、學校、廳舍；低耗損：住宅、自用辦公</t>
        </r>
      </text>
    </comment>
    <comment ref="D4" authorId="0" shapeId="0" xr:uid="{00000000-0006-0000-0800-000003000000}">
      <text>
        <r>
          <rPr>
            <sz val="11"/>
            <color theme="1"/>
            <rFont val="新細明體"/>
            <family val="2"/>
            <scheme val="minor"/>
          </rPr>
          <t>藍底 = 該組的比較基準構件</t>
        </r>
      </text>
    </comment>
    <comment ref="J4" authorId="0" shapeId="0" xr:uid="{00000000-0006-0000-0800-000004000000}">
      <text>
        <r>
          <rPr>
            <sz val="11"/>
            <color theme="1"/>
            <rFont val="新細明體"/>
            <family val="2"/>
            <scheme val="minor"/>
          </rPr>
          <t>手冊未分基層/表層的表，這兩欄填同一個數字</t>
        </r>
      </text>
    </comment>
    <comment ref="M4" authorId="0" shapeId="0" xr:uid="{00000000-0006-0000-0800-000005000000}">
      <text>
        <r>
          <rPr>
            <sz val="11"/>
            <color theme="1"/>
            <rFont val="新細明體"/>
            <family val="2"/>
            <scheme val="minor"/>
          </rPr>
          <t>負數 = 比基準低碳</t>
        </r>
      </text>
    </comment>
    <comment ref="R4" authorId="0" shapeId="0" xr:uid="{00000000-0006-0000-0800-000006000000}">
      <text>
        <r>
          <rPr>
            <sz val="11"/>
            <color theme="1"/>
            <rFont val="新細明體"/>
            <family val="2"/>
            <scheme val="minor"/>
          </rPr>
          <t>本構件(F+F*) − 基準(F+F*)</t>
        </r>
      </text>
    </comment>
    <comment ref="S4" authorId="0" shapeId="0" xr:uid="{00000000-0006-0000-0800-000007000000}">
      <text>
        <r>
          <rPr>
            <sz val="11"/>
            <color theme="1"/>
            <rFont val="新細明體"/>
            <family val="2"/>
            <scheme val="minor"/>
          </rPr>
          <t>三項驗算和手冊值差 0.02 以內算通過</t>
        </r>
      </text>
    </comment>
    <comment ref="T4" authorId="0" shapeId="0" xr:uid="{00000000-0006-0000-0800-000008000000}">
      <text>
        <r>
          <rPr>
            <sz val="11"/>
            <color theme="1"/>
            <rFont val="新細明體"/>
            <family val="2"/>
            <scheme val="minor"/>
          </rPr>
          <t>用 PDF 純文字確認這列數字真的出現在該頁</t>
        </r>
      </text>
    </comment>
    <comment ref="U4" authorId="0" shapeId="0" xr:uid="{00000000-0006-0000-0800-000009000000}">
      <text>
        <r>
          <rPr>
            <sz val="11"/>
            <color theme="1"/>
            <rFont val="新細明體"/>
            <family val="2"/>
            <scheme val="minor"/>
          </rPr>
          <t>下拉選單：✓ 正確 / ✗ 有誤 / ? 不確定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LEBR 核對</author>
  </authors>
  <commentList>
    <comment ref="A4" authorId="0" shapeId="0" xr:uid="{00000000-0006-0000-0900-000001000000}">
      <text>
        <r>
          <rPr>
            <sz val="11"/>
            <color theme="1"/>
            <rFont val="新細明體"/>
            <family val="2"/>
            <scheme val="minor"/>
          </rPr>
          <t>程式提的編號草案，將來填在 Revit 類型參數 LEBR_Code</t>
        </r>
      </text>
    </comment>
    <comment ref="B4" authorId="0" shapeId="0" xr:uid="{00000000-0006-0000-0900-000002000000}">
      <text>
        <r>
          <rPr>
            <sz val="11"/>
            <color theme="1"/>
            <rFont val="新細明體"/>
            <family val="2"/>
            <scheme val="minor"/>
          </rPr>
          <t>高耗損：商場旅館餐廳醫療等；中耗損：出租辦公、學校、廳舍；低耗損：住宅、自用辦公</t>
        </r>
      </text>
    </comment>
    <comment ref="D4" authorId="0" shapeId="0" xr:uid="{00000000-0006-0000-0900-000003000000}">
      <text>
        <r>
          <rPr>
            <sz val="11"/>
            <color theme="1"/>
            <rFont val="新細明體"/>
            <family val="2"/>
            <scheme val="minor"/>
          </rPr>
          <t>藍底 = 該組的比較基準構件</t>
        </r>
      </text>
    </comment>
    <comment ref="H4" authorId="0" shapeId="0" xr:uid="{00000000-0006-0000-0900-000004000000}">
      <text>
        <r>
          <rPr>
            <sz val="11"/>
            <color theme="1"/>
            <rFont val="新細明體"/>
            <family val="2"/>
            <scheme val="minor"/>
          </rPr>
          <t>手冊未分基層/表層的表，這兩欄填同一個數字</t>
        </r>
      </text>
    </comment>
    <comment ref="K4" authorId="0" shapeId="0" xr:uid="{00000000-0006-0000-0900-000005000000}">
      <text>
        <r>
          <rPr>
            <sz val="11"/>
            <color theme="1"/>
            <rFont val="新細明體"/>
            <family val="2"/>
            <scheme val="minor"/>
          </rPr>
          <t>負數 = 比基準低碳</t>
        </r>
      </text>
    </comment>
    <comment ref="P4" authorId="0" shapeId="0" xr:uid="{00000000-0006-0000-0900-000006000000}">
      <text>
        <r>
          <rPr>
            <sz val="11"/>
            <color theme="1"/>
            <rFont val="新細明體"/>
            <family val="2"/>
            <scheme val="minor"/>
          </rPr>
          <t>本構件(F+F*) − 基準(F+F*)</t>
        </r>
      </text>
    </comment>
    <comment ref="Q4" authorId="0" shapeId="0" xr:uid="{00000000-0006-0000-0900-000007000000}">
      <text>
        <r>
          <rPr>
            <sz val="11"/>
            <color theme="1"/>
            <rFont val="新細明體"/>
            <family val="2"/>
            <scheme val="minor"/>
          </rPr>
          <t>三項驗算和手冊值差 0.02 以內算通過</t>
        </r>
      </text>
    </comment>
    <comment ref="R4" authorId="0" shapeId="0" xr:uid="{00000000-0006-0000-0900-000008000000}">
      <text>
        <r>
          <rPr>
            <sz val="11"/>
            <color theme="1"/>
            <rFont val="新細明體"/>
            <family val="2"/>
            <scheme val="minor"/>
          </rPr>
          <t>用 PDF 純文字確認這列數字真的出現在該頁</t>
        </r>
      </text>
    </comment>
    <comment ref="S4" authorId="0" shapeId="0" xr:uid="{00000000-0006-0000-0900-000009000000}">
      <text>
        <r>
          <rPr>
            <sz val="11"/>
            <color theme="1"/>
            <rFont val="新細明體"/>
            <family val="2"/>
            <scheme val="minor"/>
          </rPr>
          <t>下拉選單：✓ 正確 / ✗ 有誤 / ? 不確定</t>
        </r>
      </text>
    </comment>
  </commentList>
</comments>
</file>

<file path=xl/sharedStrings.xml><?xml version="1.0" encoding="utf-8"?>
<sst xmlns="http://schemas.openxmlformats.org/spreadsheetml/2006/main" count="2087" uniqueCount="773">
  <si>
    <t>LEBR 資料庫核對表（草稿）</t>
  </si>
  <si>
    <t>這份檔案是什麼</t>
  </si>
  <si>
    <t>把《2025 低碳（低蘊含碳）建築評估手冊》附錄一、附錄二的表格，用程式從 PDF 抽出來，整理成將來 Revit 外掛要讀的資料庫。外掛只會讀數字，所以每個數字都必須和手冊一致。</t>
  </si>
  <si>
    <t>程式已經幫你檢查過什麼</t>
  </si>
  <si>
    <t>① 驗算：手冊的數字之間有固定關係（例如 新建 = 基層 + 表層、減碳量 = 本構件 − 基準）。只要有一個數字抽錯，驗算通常就會對不上。「驗算結果」欄是 Excel 公式，你改數字它會自動重算。</t>
  </si>
  <si>
    <t>② 第二種方法比對：另外用 PDF 純文字（不看表格格線）確認每列的數字確實出現在那一頁。</t>
  </si>
  <si>
    <t>③ 被標成 ⚠ 的列，已經把 PDF 轉成圖片人工看過，抽取正確，是手冊本身印的數字自相矛盾，見「⚠ 需確認」分頁。</t>
  </si>
  <si>
    <t>程式檢查不到、需要你看的地方（依重要性）</t>
  </si>
  <si>
    <t>1. 名稱和單位：驗算只檢查數字，名稱抄錯、單位錯（kg / ㎡ / m3 / 塊）程式抓不到。</t>
  </si>
  <si>
    <t>2. 數字放在哪一欄：例如 A1 和 A2 合併格的數字，是不是真的放在對的階段。請對照「合併儲存格」欄。</t>
  </si>
  <si>
    <t>3.「驗算結果」寫「只有總量（無法驗算）」的列：這些沒有其他數字可以互相印證，要逐筆對照手冊。</t>
  </si>
  <si>
    <t>4. 附表 2-6 的更新次數：程式依建築類別填入，不是直接從 PDF 抽的。</t>
  </si>
  <si>
    <t>5. 其餘「✓ 通過」的列：抽查即可，例如每頁看 3～5 列。</t>
  </si>
  <si>
    <t>怎麼填</t>
  </si>
  <si>
    <t>每一列最右邊的「你的核對」（黃底）點一下會出現下拉選單：✓ 正確 / ✗ 有誤 / ? 不確定。有問題就在「備註」寫手冊上看到的正確內容。範例：你的核對 =「✗ 有誤」，備註 =「手冊 p.53 單位是 ㎡ 不是 kg」。</t>
  </si>
  <si>
    <t>用表頭的篩選按鈕，可以只看 ⚠ 的列或還沒核對的列。</t>
  </si>
  <si>
    <t>顏色說明</t>
  </si>
  <si>
    <t>灰底：程式自動驗算　｜　黃底：請你填　｜　藍底：該組的比較基準構件　｜　紅底：驗算不符或比對有疑問</t>
  </si>
  <si>
    <t>名詞</t>
  </si>
  <si>
    <t>新建碳排 F：蓋的時候這個構件每平方公尺的碳排（含材料製造、運輸）。</t>
  </si>
  <si>
    <t>更新碳排 F*：建築 60 年使用期間，這個構件要翻修幾次 × 每次的碳排。</t>
  </si>
  <si>
    <t>減碳量 ΔF：和同類的基準構件比，(F + F*) 少了多少；負數代表比較低碳。</t>
  </si>
  <si>
    <t>建築類別：高／中／低耗損，決定更新次數（表 3-1）。住宅屬低耗損、學校屬中耗損、商場屬高耗損。</t>
  </si>
  <si>
    <t>編號：程式提的草案（例如 F-H-G01 = 室內地坪、高耗損、一般地坪第 1 項），團隊可以改。</t>
  </si>
  <si>
    <t>⚠ 手冊本身數字不一致（已用原圖確認不是抽取錯誤）</t>
  </si>
  <si>
    <t>這些項目抽出來的數字和手冊印的一樣（主要的 8 筆已把 PDF 轉成圖片人工看過；2 項小數尾差由兩種抽取方法一致確認），是手冊自己的數字對不起來，需要團隊決定用哪個值，或詢問建研所／查官方勘誤。</t>
  </si>
  <si>
    <t>出處</t>
  </si>
  <si>
    <t>項目</t>
  </si>
  <si>
    <t>手冊頁碼</t>
  </si>
  <si>
    <t>手冊印的內容</t>
  </si>
  <si>
    <t>問題</t>
  </si>
  <si>
    <t>建議處理</t>
  </si>
  <si>
    <t>團隊決定</t>
  </si>
  <si>
    <t>備註</t>
  </si>
  <si>
    <t>附錄一</t>
  </si>
  <si>
    <t>石膏</t>
  </si>
  <si>
    <t>A1～A3 合併 0.035、A4 0.0038，總量印 0.35</t>
  </si>
  <si>
    <t>加總約 0.039，總量看起來小數點錯一位</t>
  </si>
  <si>
    <t>採 0.039？或查原始資料</t>
  </si>
  <si>
    <t>門窗鋁框（㎡）</t>
  </si>
  <si>
    <t>A1～A3 合併 14.4、A4 0.0055，總量印 14.38</t>
  </si>
  <si>
    <t>加總 14.4055，差 0.025，小數尾差</t>
  </si>
  <si>
    <t>影響很小，採手冊總量 14.38 即可</t>
  </si>
  <si>
    <t>PE 防水布</t>
  </si>
  <si>
    <t>A1～A3 0.252、A4 0，總量印 0.042</t>
  </si>
  <si>
    <t>加總 0.252 ≠ 0.042，不知道哪個才對</t>
  </si>
  <si>
    <t>需查原始資料</t>
  </si>
  <si>
    <t>附表 2-1</t>
  </si>
  <si>
    <t>5. 金屬模板搗灌 RC 外牆 塗料外裝、6. 預鑄乾式 RC 外牆 塗料外裝</t>
  </si>
  <si>
    <t>減碳量印 -25.51</t>
  </si>
  <si>
    <t>驗算 -25.454，差 0.056，小數尾差（3. RC 外牆塗料外裝也差 0.016）</t>
  </si>
  <si>
    <t>影響很小，採手冊值即可</t>
  </si>
  <si>
    <t>附表 2-3</t>
  </si>
  <si>
    <t>12mm 普通或吸熱玻璃 / 帷幕鋁框</t>
  </si>
  <si>
    <t>a 24.6 + b 30.32，新建碳排印 55.92</t>
  </si>
  <si>
    <t>應為 54.92（同表其他玻璃都符合 a+b）</t>
  </si>
  <si>
    <t>採 54.92</t>
  </si>
  <si>
    <t>12mm 普通或吸熱玻璃 / 不銹鋼框</t>
  </si>
  <si>
    <t>減碳量印 +16.31</t>
  </si>
  <si>
    <t>因為上一列印錯，驗算變 15.31；同表其他列都是 +16.31，本列手冊值應是對的</t>
  </si>
  <si>
    <t>維持 +16.31，修正上一列即可</t>
  </si>
  <si>
    <t>附表 2-6</t>
  </si>
  <si>
    <t>中耗損 木作地坪 6. 塑膠地板/方塊地毯</t>
  </si>
  <si>
    <t>表層 5.29 × 表層更新 2 次，更新碳排印 15.87</t>
  </si>
  <si>
    <t>應為 10.58；15.87 = 5.29×3，像是誤用高耗損的次數</t>
  </si>
  <si>
    <t>採 10.58，減碳量也要跟著改成 -44.82</t>
  </si>
  <si>
    <t>46-6 分戶樓板 一般地坪 1. 緩衝材水泥砂漿+貼地磚</t>
  </si>
  <si>
    <t>手冊沒寫「基準值」</t>
  </si>
  <si>
    <t>這列底色是灰的而且減碳量 0，推定它是基準</t>
  </si>
  <si>
    <t>確認推定正確</t>
  </si>
  <si>
    <t>46-6 一般地坪 2. 鋼絲網補強混凝土+貼地磚</t>
  </si>
  <si>
    <t>減碳量印 +4.63</t>
  </si>
  <si>
    <t>驗算 +6.18，差 1.55，原因不明</t>
  </si>
  <si>
    <t>46-6 一般地坪 3. 鋼絲網補強混凝土+塑膠地磚</t>
  </si>
  <si>
    <t>減碳量印 -16.91</t>
  </si>
  <si>
    <t>驗算 -15.36，同樣差 1.55</t>
  </si>
  <si>
    <t>附錄一　ABRI 初級資材碳排資料庫（P-LCC, 2022）</t>
  </si>
  <si>
    <t>手冊第 52～55 頁。灰底欄位是程式自動驗算（公式，會跟著你改的數字重算）；黃底欄位請你填。「合併儲存格」：例如鋼胚（高爐）的 2.26 在手冊上是 A1～A3 三格合併，表示這三個階段合計 2.26。</t>
  </si>
  <si>
    <t>編號</t>
  </si>
  <si>
    <t>分類</t>
  </si>
  <si>
    <t>材料/工項名稱</t>
  </si>
  <si>
    <t>單位</t>
  </si>
  <si>
    <t>原料開採
A1</t>
  </si>
  <si>
    <t>原料運輸
A2</t>
  </si>
  <si>
    <t>產品生產
A3</t>
  </si>
  <si>
    <t>成品運輸
A4</t>
  </si>
  <si>
    <t>總碳排量
A1~A4
(kgCO2e)</t>
  </si>
  <si>
    <t>合併儲存格</t>
  </si>
  <si>
    <t>手冊備註文字</t>
  </si>
  <si>
    <t>手冊頁碼
(印刷頁)</t>
  </si>
  <si>
    <t>驗算：
各階段加總</t>
  </si>
  <si>
    <t>驗算結果</t>
  </si>
  <si>
    <t>第二種方法比對</t>
  </si>
  <si>
    <t>你的核對</t>
  </si>
  <si>
    <t>PLCC-001</t>
  </si>
  <si>
    <t>金屬</t>
  </si>
  <si>
    <t>鋼胚（高爐）</t>
  </si>
  <si>
    <t>kg</t>
  </si>
  <si>
    <t>A1～A4 中 A1～A3 為合併格</t>
  </si>
  <si>
    <t>一致</t>
  </si>
  <si>
    <t>PLCC-002</t>
  </si>
  <si>
    <t>鋼胚（電弧爐）</t>
  </si>
  <si>
    <t>PLCC-003</t>
  </si>
  <si>
    <t>鋼筋及鐵件</t>
  </si>
  <si>
    <t>A1～A4 中 A1～A2 為合併格</t>
  </si>
  <si>
    <t>PLCC-004</t>
  </si>
  <si>
    <t>型鋼</t>
  </si>
  <si>
    <t>PLCC-005</t>
  </si>
  <si>
    <t>不鏽鋼捲、不鏽鋼</t>
  </si>
  <si>
    <t>PLCC-006</t>
  </si>
  <si>
    <t>不鏽鋼管</t>
  </si>
  <si>
    <t>PLCC-007</t>
  </si>
  <si>
    <t>鍍鋅鋼管</t>
  </si>
  <si>
    <t>PLCC-008</t>
  </si>
  <si>
    <t>冷軋鋼管</t>
  </si>
  <si>
    <t>PLCC-009</t>
  </si>
  <si>
    <t>進口鋁錠（全新）</t>
  </si>
  <si>
    <t>PLCC-010</t>
  </si>
  <si>
    <t>進口鋁錠（80%回收）</t>
  </si>
  <si>
    <t>PLCC-011</t>
  </si>
  <si>
    <t>門窗鋁料</t>
  </si>
  <si>
    <t>PLCC-012</t>
  </si>
  <si>
    <t>門窗鋁框</t>
  </si>
  <si>
    <t>PLCC-013</t>
  </si>
  <si>
    <t>㎡</t>
  </si>
  <si>
    <t>PLCC-014</t>
  </si>
  <si>
    <t>砂石</t>
  </si>
  <si>
    <t>基地內土方</t>
  </si>
  <si>
    <t>m3</t>
  </si>
  <si>
    <t>A1～A4 中 A1～A4 為合併格</t>
  </si>
  <si>
    <t>PLCC-015</t>
  </si>
  <si>
    <t>基地外運出入土方</t>
  </si>
  <si>
    <t>PLCC-016</t>
  </si>
  <si>
    <t>砂礫</t>
  </si>
  <si>
    <t>PLCC-017</t>
  </si>
  <si>
    <t>採石（原石）</t>
  </si>
  <si>
    <t>PLCC-018</t>
  </si>
  <si>
    <t>石材加工品（6 分板）</t>
  </si>
  <si>
    <t>PLCC-019</t>
  </si>
  <si>
    <t>石質地磚</t>
  </si>
  <si>
    <t>PLCC-020</t>
  </si>
  <si>
    <t>2.5cm 磨石子地磚</t>
  </si>
  <si>
    <t>PLCC-021</t>
  </si>
  <si>
    <t>岩棉板（1.5cm）</t>
  </si>
  <si>
    <t>PLCC-022</t>
  </si>
  <si>
    <t>岩棉板</t>
  </si>
  <si>
    <t>PLCC-023</t>
  </si>
  <si>
    <t>3mm 可樂瓦</t>
  </si>
  <si>
    <t>PLCC-024</t>
  </si>
  <si>
    <t>磁磚（1cm）</t>
  </si>
  <si>
    <t>PLCC-025</t>
  </si>
  <si>
    <t>衛生陶瓷器</t>
  </si>
  <si>
    <t>PLCC-026</t>
  </si>
  <si>
    <t>紅磚（20*9.5*5cm）</t>
  </si>
  <si>
    <t>塊</t>
  </si>
  <si>
    <t>PLCC-027</t>
  </si>
  <si>
    <t>空心磚（L39W19H19cm）</t>
  </si>
  <si>
    <t>PLCC-028</t>
  </si>
  <si>
    <t>馬賽克2*2*0.4cm</t>
  </si>
  <si>
    <t>PLCC-029</t>
  </si>
  <si>
    <t>馬賽克2*2*0.8cm</t>
  </si>
  <si>
    <t>PLCC-030</t>
  </si>
  <si>
    <t>水晶玻璃馬賽克2*2*0.8cm</t>
  </si>
  <si>
    <t>PLCC-031</t>
  </si>
  <si>
    <t>矽藻土</t>
  </si>
  <si>
    <t>PLCC-032</t>
  </si>
  <si>
    <t>文化瓦</t>
  </si>
  <si>
    <t>PLCC-033</t>
  </si>
  <si>
    <t>水泥</t>
  </si>
  <si>
    <t>卜特蘭水泥（乾式）</t>
  </si>
  <si>
    <t>PLCC-034</t>
  </si>
  <si>
    <t>白水泥</t>
  </si>
  <si>
    <t>t</t>
  </si>
  <si>
    <t>PLCC-035</t>
  </si>
  <si>
    <t>高爐水泥（爐石水泥替代率30%）</t>
  </si>
  <si>
    <t>PLCC-036</t>
  </si>
  <si>
    <t>高爐水泥（爐石水泥替代率45%）</t>
  </si>
  <si>
    <t>PLCC-037</t>
  </si>
  <si>
    <t>1:1 水泥砂漿粉刷2cm 厚</t>
  </si>
  <si>
    <t>PLCC-038</t>
  </si>
  <si>
    <t>1:2 水泥砂漿粉刷2cm 厚</t>
  </si>
  <si>
    <t>PLCC-039</t>
  </si>
  <si>
    <t>1:3 水泥砂漿粉刷2cm 厚</t>
  </si>
  <si>
    <t>PLCC-040</t>
  </si>
  <si>
    <t>預拌混凝土（2000psi）</t>
  </si>
  <si>
    <t>PLCC-041</t>
  </si>
  <si>
    <t>預拌混凝土（2500psi）</t>
  </si>
  <si>
    <t>PLCC-042</t>
  </si>
  <si>
    <t>預拌混凝土（3000psi）</t>
  </si>
  <si>
    <t>PLCC-043</t>
  </si>
  <si>
    <t>預拌混凝土（4000psi）</t>
  </si>
  <si>
    <t>PLCC-044</t>
  </si>
  <si>
    <t>預拌混凝土（5000psi）</t>
  </si>
  <si>
    <t>PLCC-045</t>
  </si>
  <si>
    <t>預拌混凝土（6000psi）</t>
  </si>
  <si>
    <t>PLCC-046</t>
  </si>
  <si>
    <t>預拌高爐混凝土（2000psi）</t>
  </si>
  <si>
    <t>PLCC-047</t>
  </si>
  <si>
    <t>預拌高爐混凝土（2500psi）</t>
  </si>
  <si>
    <t>PLCC-048</t>
  </si>
  <si>
    <t>預拌高爐混凝土（3000psi）</t>
  </si>
  <si>
    <t>PLCC-049</t>
  </si>
  <si>
    <t>預拌高爐混凝土（4000psi）</t>
  </si>
  <si>
    <t>PLCC-050</t>
  </si>
  <si>
    <t>預拌高爐混凝土（5000psi）</t>
  </si>
  <si>
    <t>PLCC-051</t>
  </si>
  <si>
    <t>預拌高爐混凝土（6000psi）</t>
  </si>
  <si>
    <t>PLCC-052</t>
  </si>
  <si>
    <t>輕質水泥</t>
  </si>
  <si>
    <t>PLCC-053</t>
  </si>
  <si>
    <t>PLCC-054</t>
  </si>
  <si>
    <t>水泥板（9mm）</t>
  </si>
  <si>
    <t>PLCC-055</t>
  </si>
  <si>
    <t>高壓混凝土地磚（6cm）/連鎖磚</t>
  </si>
  <si>
    <t>PLCC-056</t>
  </si>
  <si>
    <t>PLCC-057</t>
  </si>
  <si>
    <t>石膏磚（66.5＊80＊6cm）</t>
  </si>
  <si>
    <t>PLCC-058</t>
  </si>
  <si>
    <t>石膏板（9mm）</t>
  </si>
  <si>
    <t>PLCC-059</t>
  </si>
  <si>
    <t>石膏板（12mm）</t>
  </si>
  <si>
    <t>PLCC-060</t>
  </si>
  <si>
    <t>石膏板（15mm）</t>
  </si>
  <si>
    <t>PLCC-061</t>
  </si>
  <si>
    <t>矽酸鈣板（6mm）</t>
  </si>
  <si>
    <t>PLCC-062</t>
  </si>
  <si>
    <t>矽酸鈣板（9mm）</t>
  </si>
  <si>
    <t>PLCC-063</t>
  </si>
  <si>
    <t>矽酸鈣板（12mm）</t>
  </si>
  <si>
    <t>PLCC-064</t>
  </si>
  <si>
    <t>益膠泥 2.4kg/㎡</t>
  </si>
  <si>
    <t>PLCC-065</t>
  </si>
  <si>
    <t>玻璃</t>
  </si>
  <si>
    <t>普通玻璃</t>
  </si>
  <si>
    <t>PLCC-066</t>
  </si>
  <si>
    <t>1mm 普通玻璃</t>
  </si>
  <si>
    <t>PLCC-067</t>
  </si>
  <si>
    <t>平板玻璃</t>
  </si>
  <si>
    <t>PLCC-068</t>
  </si>
  <si>
    <t>強化玻璃</t>
  </si>
  <si>
    <t>PLCC-069</t>
  </si>
  <si>
    <t>1mm 強化玻璃</t>
  </si>
  <si>
    <t>PLCC-070</t>
  </si>
  <si>
    <t>反射玻璃</t>
  </si>
  <si>
    <t>PLCC-071</t>
  </si>
  <si>
    <t>1mm 反射玻璃</t>
  </si>
  <si>
    <t>PLCC-072</t>
  </si>
  <si>
    <t>5+5mm 雙層玻璃</t>
  </si>
  <si>
    <t>PLCC-073</t>
  </si>
  <si>
    <t>6+6mm 雙層玻璃</t>
  </si>
  <si>
    <t>PLCC-074</t>
  </si>
  <si>
    <t>8+8mm 雙層玻璃</t>
  </si>
  <si>
    <t>PLCC-075</t>
  </si>
  <si>
    <t>Low-E 玻璃</t>
  </si>
  <si>
    <t>PLCC-076</t>
  </si>
  <si>
    <t>玻璃纖維</t>
  </si>
  <si>
    <t>PLCC-077</t>
  </si>
  <si>
    <t>玻璃磚19×19×8cm</t>
  </si>
  <si>
    <t>片</t>
  </si>
  <si>
    <t>PLCC-078</t>
  </si>
  <si>
    <t>木材*</t>
  </si>
  <si>
    <t>原木製材（人工乾燥軟木）</t>
  </si>
  <si>
    <t>PLCC-079</t>
  </si>
  <si>
    <t>原木製材（人工乾燥硬木）</t>
  </si>
  <si>
    <t>PLCC-080</t>
  </si>
  <si>
    <t>集成材</t>
  </si>
  <si>
    <t>PLCC-081</t>
  </si>
  <si>
    <t>木質板材*</t>
  </si>
  <si>
    <t>實木皮化粧合板（2 分板，6mm）</t>
  </si>
  <si>
    <t>m2</t>
  </si>
  <si>
    <t>PLCC-082</t>
  </si>
  <si>
    <t>實木皮木芯板（天然木化粧合板、複合木質、海島型木地板、木芯板）（6 分板，18mm）</t>
  </si>
  <si>
    <t>PLCC-083</t>
  </si>
  <si>
    <t>合板（18mm）</t>
  </si>
  <si>
    <t>PLCC-084</t>
  </si>
  <si>
    <t>單板層積材（LVL）（6 分板，18mm）</t>
  </si>
  <si>
    <t>PLCC-085</t>
  </si>
  <si>
    <t>集成材（集層材、膠合木）（6 分板，18mm）</t>
  </si>
  <si>
    <t>PLCC-086</t>
  </si>
  <si>
    <t>高密度粒片板（塑合板，OSB 定向粒片板，密度850kg/m3，18mm）</t>
  </si>
  <si>
    <t>依王松永調查650kg/m3 密度粒片板，原料運輸、製程、成品運輸之碳排10.29、733.0、3.05kgCO e/m3 以重量比例換算2</t>
  </si>
  <si>
    <t>PLCC-087</t>
  </si>
  <si>
    <t>中密度粒片板（密集板，密度700kg/m3，18mm）</t>
  </si>
  <si>
    <t>PLCC-088</t>
  </si>
  <si>
    <t>低密度粒片板（甘蔗板，密度550kg/m3，18mm）</t>
  </si>
  <si>
    <t>PLCC-089</t>
  </si>
  <si>
    <t>高密度OSB 定向粒片板6mm</t>
  </si>
  <si>
    <t>PLCC-090</t>
  </si>
  <si>
    <t>單面化粧合板6mm（美化板，高壓成形板，PVC 板）</t>
  </si>
  <si>
    <t>單面0.5mm PVC（含封邊） +合板+單面0.5mm牛皮紙（含封邊）</t>
  </si>
  <si>
    <t>PLCC-091</t>
  </si>
  <si>
    <t>單面美耐合板6mm</t>
  </si>
  <si>
    <t>三聚氰胺樹脂0.5mm（含封邊） +合板+0.5mm牛皮紙（含封邊）</t>
  </si>
  <si>
    <t>PLCC-092</t>
  </si>
  <si>
    <t>木模板（1.5cm）</t>
  </si>
  <si>
    <t>PLCC-093</t>
  </si>
  <si>
    <t>化學塑膠</t>
  </si>
  <si>
    <t>塑鋼原料（POM）</t>
  </si>
  <si>
    <t>PLCC-094</t>
  </si>
  <si>
    <t>聚酯纖維（PET）</t>
  </si>
  <si>
    <t>PLCC-095</t>
  </si>
  <si>
    <t>玻璃纖維強化塑膠（FRP）</t>
  </si>
  <si>
    <t>PLCC-096</t>
  </si>
  <si>
    <t>環氧樹脂 （Epoxy）</t>
  </si>
  <si>
    <t>PLCC-097</t>
  </si>
  <si>
    <t>1mm 環氧樹脂 （Epoxy）</t>
  </si>
  <si>
    <t>PLCC-098</t>
  </si>
  <si>
    <t>高密度聚乙烯（HDPE）</t>
  </si>
  <si>
    <t>PLCC-099</t>
  </si>
  <si>
    <t>低密度聚乙烯（LDPE）</t>
  </si>
  <si>
    <t>PLCC-100</t>
  </si>
  <si>
    <t>PC 耐力板</t>
  </si>
  <si>
    <t>PLCC-101</t>
  </si>
  <si>
    <t>4mmPC 中空板</t>
  </si>
  <si>
    <t>PLCC-102</t>
  </si>
  <si>
    <t>6mmPC 中空板</t>
  </si>
  <si>
    <t>PLCC-103</t>
  </si>
  <si>
    <t>8mmPC 中空板</t>
  </si>
  <si>
    <t>PLCC-104</t>
  </si>
  <si>
    <t>10mmPC 中空板</t>
  </si>
  <si>
    <t>PLCC-105</t>
  </si>
  <si>
    <t>水泥漆（kg）</t>
  </si>
  <si>
    <t>PLCC-106</t>
  </si>
  <si>
    <t>水泥漆</t>
  </si>
  <si>
    <t>PLCC-107</t>
  </si>
  <si>
    <t>水性水泥漆</t>
  </si>
  <si>
    <t>PLCC-108</t>
  </si>
  <si>
    <t>油漆</t>
  </si>
  <si>
    <t>PLCC-109</t>
  </si>
  <si>
    <t>瀝青混凝土AC</t>
  </si>
  <si>
    <t>PLCC-110</t>
  </si>
  <si>
    <t>油毛氈</t>
  </si>
  <si>
    <t>PLCC-111</t>
  </si>
  <si>
    <t>再生PE 廢塑膠片</t>
  </si>
  <si>
    <t>PLCC-112</t>
  </si>
  <si>
    <t>再生PP 廢塑膠片</t>
  </si>
  <si>
    <t>PLCC-113</t>
  </si>
  <si>
    <t>再生PVC 廢塑膠片</t>
  </si>
  <si>
    <t>PLCC-114</t>
  </si>
  <si>
    <t>再生PET 廢塑膠片</t>
  </si>
  <si>
    <t>PLCC-115</t>
  </si>
  <si>
    <t>PLCC-116</t>
  </si>
  <si>
    <t>1mmPE 防水布</t>
  </si>
  <si>
    <t>PLCC-117</t>
  </si>
  <si>
    <t>1cm EPS 板/低密度保麗龍板</t>
  </si>
  <si>
    <t>PLCC-118</t>
  </si>
  <si>
    <t>1cm PS 板/保麗龍板</t>
  </si>
  <si>
    <t>PLCC-119</t>
  </si>
  <si>
    <t>保麗龍隔熱磚30*30*3cm</t>
  </si>
  <si>
    <t>PLCC-120</t>
  </si>
  <si>
    <t>0.2cm 厚塑膠地磚/PVC 地磚</t>
  </si>
  <si>
    <t>附表 2-1　一般外牆外裝新建碳排 Fowj、更新碳排 Fowj*、減碳量 ΔFowj（kgCO2e/㎡）</t>
  </si>
  <si>
    <t>基準構件：RC 外牆貼磁磚。ΔF = 本構件(F+F*) − 基準構件(F+F*)，負數代表比基準低碳。　灰底 = 程式驗算（公式）；黃底 = 請你填。</t>
  </si>
  <si>
    <t>構造名稱</t>
  </si>
  <si>
    <t>基層構造</t>
  </si>
  <si>
    <t>基層碳排 a</t>
  </si>
  <si>
    <t>表層構造</t>
  </si>
  <si>
    <t>表層碳排 b</t>
  </si>
  <si>
    <t>新建碳排
Fowj = a+b</t>
  </si>
  <si>
    <t>基層
更新次數</t>
  </si>
  <si>
    <t>表層
更新次數 c</t>
  </si>
  <si>
    <t>更新碳排
Fowj* = b×c</t>
  </si>
  <si>
    <t>減碳量
ΔFowj</t>
  </si>
  <si>
    <t>比較基準
編號</t>
  </si>
  <si>
    <t>驗算：
新建</t>
  </si>
  <si>
    <t>驗算：
更新</t>
  </si>
  <si>
    <t>驗算：
減碳量</t>
  </si>
  <si>
    <t>OW-01</t>
  </si>
  <si>
    <t>1.RC 外牆貼磁磚（基準）</t>
  </si>
  <si>
    <t>底層砂漿（9.05）</t>
  </si>
  <si>
    <t>益膠泥+貼磁磚（19.65）</t>
  </si>
  <si>
    <t>OW-02</t>
  </si>
  <si>
    <t>2.RC 外牆乾式鋼件掛石材</t>
  </si>
  <si>
    <t>無底層</t>
  </si>
  <si>
    <t>防水塗料+鋼件掛石材（12.79）</t>
  </si>
  <si>
    <t>OW-03</t>
  </si>
  <si>
    <t>3.RC 外牆塗料外裝</t>
  </si>
  <si>
    <t>防水塗料（5.724）</t>
  </si>
  <si>
    <t>OW-04</t>
  </si>
  <si>
    <t>4.金屬模板搗灌RC 外牆（免砂漿粉刷） 貼磁磚</t>
  </si>
  <si>
    <t>OW-05</t>
  </si>
  <si>
    <t>5.金屬模板搗灌RC 外牆（免砂漿粉刷） 塗料外裝</t>
  </si>
  <si>
    <t>OW-06</t>
  </si>
  <si>
    <t>6.預鑄乾式RC 外牆 （免砂漿粉刷） 塗料外裝</t>
  </si>
  <si>
    <t>附表 2-2　外窗新建碳排 Fwj、更新碳排 Fwj*、減碳量 ΔFwj（kgCO2e/㎡）</t>
  </si>
  <si>
    <t>每種玻璃各自以「鋁框」為基準比較。　灰底 = 程式驗算（公式）；黃底 = 請你填。</t>
  </si>
  <si>
    <t>玻璃種類</t>
  </si>
  <si>
    <t>玻璃碳排 a</t>
  </si>
  <si>
    <t>窗框構造</t>
  </si>
  <si>
    <t>窗框碳排 b</t>
  </si>
  <si>
    <t>新建碳排
Fwj = a+b</t>
  </si>
  <si>
    <t>更新碳排
Fwj* = c×(a+b)</t>
  </si>
  <si>
    <t>減碳量
ΔFwj</t>
  </si>
  <si>
    <t>W-G01-AL</t>
  </si>
  <si>
    <t>1.6mm 普通或吸熱玻璃</t>
  </si>
  <si>
    <t>1.6mm 普通或吸熱玻璃 / 崁入式鋁框（24.84）</t>
  </si>
  <si>
    <t>崁入式鋁框（24.84）</t>
  </si>
  <si>
    <t>W-G01-PVC</t>
  </si>
  <si>
    <t>1.6mm 普通或吸熱玻璃 / 崁入式塑鋼框（11.74）</t>
  </si>
  <si>
    <t>崁入式塑鋼框（11.74）</t>
  </si>
  <si>
    <t>W-G01-WD</t>
  </si>
  <si>
    <t>1.6mm 普通或吸熱玻璃 / 崁入式硬木木窗框（5.22）</t>
  </si>
  <si>
    <t>崁入式硬木木窗框（5.22）</t>
  </si>
  <si>
    <t>W-G02-AL</t>
  </si>
  <si>
    <t>2. 8 mm 普通或吸熱玻璃</t>
  </si>
  <si>
    <t>2. 8 mm 普通或吸熱玻璃 / 崁入式鋁框（24.84）</t>
  </si>
  <si>
    <t>W-G02-PVC</t>
  </si>
  <si>
    <t>2. 8 mm 普通或吸熱玻璃 / 崁入式塑鋼框（11.74）</t>
  </si>
  <si>
    <t>W-G02-WD</t>
  </si>
  <si>
    <t>2. 8 mm 普通或吸熱玻璃 / 崁入式硬木木窗框（5.22）</t>
  </si>
  <si>
    <t>W-G03-AL</t>
  </si>
  <si>
    <t>3. 10 mm 普通或吸熱玻璃</t>
  </si>
  <si>
    <t>3. 10 mm 普通或吸熱玻璃 / 崁入式鋁框（24.84）</t>
  </si>
  <si>
    <t>W-G03-PVC</t>
  </si>
  <si>
    <t>3. 10 mm 普通或吸熱玻璃 / 崁入式塑鋼框（11.74）</t>
  </si>
  <si>
    <t>W-G03-WD</t>
  </si>
  <si>
    <t>3. 10 mm 普通或吸熱玻璃 / 崁入式硬木木窗框（5.22）</t>
  </si>
  <si>
    <t>W-G04-AL</t>
  </si>
  <si>
    <t>4. 12 mm 普通或吸熱玻璃</t>
  </si>
  <si>
    <t>4. 12 mm 普通或吸熱玻璃 / 崁入式鋁框（24.84）</t>
  </si>
  <si>
    <t>W-G04-PVC</t>
  </si>
  <si>
    <t>4. 12 mm 普通或吸熱玻璃 / 崁入式塑鋼框（11.74）</t>
  </si>
  <si>
    <t>W-G04-WD</t>
  </si>
  <si>
    <t>4. 12 mm 普通或吸熱玻璃 / 崁入式硬木木窗框（5.22）</t>
  </si>
  <si>
    <t>W-G05-AL</t>
  </si>
  <si>
    <t>5. 8 mm 反射玻璃</t>
  </si>
  <si>
    <t>5. 8 mm 反射玻璃 / 崁入式鋁框（24.84）</t>
  </si>
  <si>
    <t>W-G05-PVC</t>
  </si>
  <si>
    <t>5. 8 mm 反射玻璃 / 崁入式塑鋼框（11.74）</t>
  </si>
  <si>
    <t>W-G05-WD</t>
  </si>
  <si>
    <t>5. 8 mm 反射玻璃 / 崁入式硬木木窗框（5.22）</t>
  </si>
  <si>
    <t>W-G06-AL</t>
  </si>
  <si>
    <t>6. 10 mm 反射玻璃</t>
  </si>
  <si>
    <t>6. 10 mm 反射玻璃 / 崁入式鋁框（24.84）</t>
  </si>
  <si>
    <t>W-G06-PVC</t>
  </si>
  <si>
    <t>6. 10 mm 反射玻璃 / 崁入式塑鋼框（11.74）</t>
  </si>
  <si>
    <t>W-G06-WD</t>
  </si>
  <si>
    <t>6. 10 mm 反射玻璃 / 崁入式硬木木窗框（5.22）</t>
  </si>
  <si>
    <t>W-G07-AL</t>
  </si>
  <si>
    <t>7. 12 mm 反射玻璃</t>
  </si>
  <si>
    <t>7. 12 mm 反射玻璃 / 崁入式鋁框（24.84）</t>
  </si>
  <si>
    <t>W-G07-PVC</t>
  </si>
  <si>
    <t>7. 12 mm 反射玻璃 / 崁入式塑鋼框（11.74）</t>
  </si>
  <si>
    <t>W-G07-WD</t>
  </si>
  <si>
    <t>7. 12 mm 反射玻璃 / 崁入式硬木木窗框（5.22）</t>
  </si>
  <si>
    <t>W-G08-AL</t>
  </si>
  <si>
    <t>8. 6 mm 強化玻璃</t>
  </si>
  <si>
    <t>8. 6 mm 強化玻璃 / 崁入式鋁框（24.84）</t>
  </si>
  <si>
    <t>W-G08-PVC</t>
  </si>
  <si>
    <t>8. 6 mm 強化玻璃 / 崁入式塑鋼框（11.74）</t>
  </si>
  <si>
    <t>W-G08-WD</t>
  </si>
  <si>
    <t>8. 6 mm 強化玻璃 / 崁入式硬木木窗框（5.22）</t>
  </si>
  <si>
    <t>W-G09-AL</t>
  </si>
  <si>
    <t>9. 8 mm 強化玻璃</t>
  </si>
  <si>
    <t>9. 8 mm 強化玻璃 / 崁入式鋁框（24.84）</t>
  </si>
  <si>
    <t>W-G09-PVC</t>
  </si>
  <si>
    <t>9. 8 mm 強化玻璃 / 崁入式塑鋼框（11.74）</t>
  </si>
  <si>
    <t>W-G09-WD</t>
  </si>
  <si>
    <t>9. 8 mm 強化玻璃 / 崁入式硬木木窗框（5.22）</t>
  </si>
  <si>
    <t>W-G10-AL</t>
  </si>
  <si>
    <t>10. 10 mm 強化玻璃</t>
  </si>
  <si>
    <t>10. 10 mm 強化玻璃 / 崁入式鋁框（24.84）</t>
  </si>
  <si>
    <t>W-G10-PVC</t>
  </si>
  <si>
    <t>10. 10 mm 強化玻璃 / 崁入式塑鋼框（11.74）</t>
  </si>
  <si>
    <t>W-G10-WD</t>
  </si>
  <si>
    <t>10. 10 mm 強化玻璃 / 崁入式硬木木窗框（5.22）</t>
  </si>
  <si>
    <t>W-G11-AL</t>
  </si>
  <si>
    <t>11. 5＋5 mm 雙強化膠合玻璃</t>
  </si>
  <si>
    <t>11. 5＋5 mm 雙強化膠合玻璃 / 崁入式鋁框（24.84）</t>
  </si>
  <si>
    <t>W-G11-PVC</t>
  </si>
  <si>
    <t>11. 5＋5 mm 雙強化膠合玻璃 / 崁入式塑鋼框（11.74）</t>
  </si>
  <si>
    <t>W-G12-AL</t>
  </si>
  <si>
    <t>12. 6＋6mm 雙強化膠合玻璃</t>
  </si>
  <si>
    <t>12. 6＋6mm 雙強化膠合玻璃 / 崁入式鋁框（24.84）</t>
  </si>
  <si>
    <t>W-G12-PVC</t>
  </si>
  <si>
    <t>12. 6＋6mm 雙強化膠合玻璃 / 崁入式塑鋼框（11.74）</t>
  </si>
  <si>
    <t>W-G13-AL</t>
  </si>
  <si>
    <t>13. 8＋8mm 雙強化膠合玻璃</t>
  </si>
  <si>
    <t>13. 8＋8mm 雙強化膠合玻璃 / 崁入式鋁框（24.84）</t>
  </si>
  <si>
    <t>W-G13-PVC</t>
  </si>
  <si>
    <t>13. 8＋8mm 雙強化膠合玻璃 / 崁入式塑鋼框（11.74）</t>
  </si>
  <si>
    <t>W-G14-AL</t>
  </si>
  <si>
    <t>14. 6＋6mm Low-E 玻璃</t>
  </si>
  <si>
    <t>14. 6＋6mm Low-E 玻璃 / 崁入式鋁框（24.84）</t>
  </si>
  <si>
    <t>W-G14-PVC</t>
  </si>
  <si>
    <t>14. 6＋6mm Low-E 玻璃 / 崁入式塑鋼框（11.74）</t>
  </si>
  <si>
    <t>W-G15-AL</t>
  </si>
  <si>
    <t>15. 8＋8mm Low-E 玻璃</t>
  </si>
  <si>
    <t>15. 8＋8mm Low-E 玻璃 / 崁入式鋁框（24.84）</t>
  </si>
  <si>
    <t>W-G15-PVC</t>
  </si>
  <si>
    <t>15. 8＋8mm Low-E 玻璃 / 崁入式塑鋼框（11.74）</t>
  </si>
  <si>
    <t>附表 2-3　透光帷幕外窗新建碳排 Fwj、更新碳排 Fwj*、減碳量 ΔFwj（kgCO2e/㎡）</t>
  </si>
  <si>
    <t>每種玻璃各自以「帷幕牆式鋁框或塑鋼框」為基準比較。　灰底 = 程式驗算（公式）；黃底 = 請你填。</t>
  </si>
  <si>
    <t>CWW-G01-ALPVC</t>
  </si>
  <si>
    <t>1.6mm 普通或吸熱玻璃 / 帷幕牆式鋁框或塑鋼框（30.32）</t>
  </si>
  <si>
    <t>帷幕牆式鋁框或塑鋼框（30.32）</t>
  </si>
  <si>
    <t>CWW-G01-SS</t>
  </si>
  <si>
    <t>1.6mm 普通或吸熱玻璃 / 帷幕牆式或抓耙釘式不銹鋼框（46.63）</t>
  </si>
  <si>
    <t>帷幕牆式或抓耙釘式不銹鋼框（46.63）</t>
  </si>
  <si>
    <t>CWW-G02-ALPVC</t>
  </si>
  <si>
    <t>2. 8 mm 普通或吸熱玻璃 / 帷幕牆式鋁框或塑鋼框（30.32）</t>
  </si>
  <si>
    <t>CWW-G02-SS</t>
  </si>
  <si>
    <t>2. 8 mm 普通或吸熱玻璃 / 帷幕牆式或抓耙釘式不銹鋼框（46.63）</t>
  </si>
  <si>
    <t>CWW-G03-ALPVC</t>
  </si>
  <si>
    <t>3. 10 mm 普通或吸熱玻璃 / 帷幕牆式鋁框或塑鋼框（30.32）</t>
  </si>
  <si>
    <t>CWW-G03-SS</t>
  </si>
  <si>
    <t>3. 10 mm 普通或吸熱玻璃 / 帷幕牆式或抓耙釘式不銹鋼框（46.63）</t>
  </si>
  <si>
    <t>CWW-G04-ALPVC</t>
  </si>
  <si>
    <t>4. 12 mm 普通或吸熱玻璃 / 帷幕牆式鋁框或塑鋼框（30.32）</t>
  </si>
  <si>
    <t>CWW-G04-SS</t>
  </si>
  <si>
    <t>4. 12 mm 普通或吸熱玻璃 / 帷幕牆式或抓耙釘式不銹鋼框（46.63）</t>
  </si>
  <si>
    <t>CWW-G05-ALPVC</t>
  </si>
  <si>
    <t>5. 8 mm 反射玻璃 / 帷幕牆式鋁框或塑鋼框（30.32）</t>
  </si>
  <si>
    <t>CWW-G05-SS</t>
  </si>
  <si>
    <t>5. 8 mm 反射玻璃 / 帷幕牆式或抓耙釘式不銹鋼框（46.63）</t>
  </si>
  <si>
    <t>CWW-G06-ALPVC</t>
  </si>
  <si>
    <t>6. 10 mm 反射玻璃 / 帷幕牆式鋁框或塑鋼框（30.32）</t>
  </si>
  <si>
    <t>CWW-G06-SS</t>
  </si>
  <si>
    <t>6. 10 mm 反射玻璃 / 帷幕牆式或抓耙釘式不銹鋼框（46.63）</t>
  </si>
  <si>
    <t>CWW-G07-ALPVC</t>
  </si>
  <si>
    <t>7. 12 mm 反射玻璃 / 帷幕牆式鋁框或塑鋼框（30.32）</t>
  </si>
  <si>
    <t>CWW-G07-SS</t>
  </si>
  <si>
    <t>7. 12 mm 反射玻璃 / 帷幕牆式或抓耙釘式不銹鋼框（46.63）</t>
  </si>
  <si>
    <t>CWW-G08-ALPVC</t>
  </si>
  <si>
    <t>8. 6 mm 強化玻璃 / 帷幕牆式鋁框或塑鋼框（30.32）</t>
  </si>
  <si>
    <t>CWW-G08-SS</t>
  </si>
  <si>
    <t>8. 6 mm 強化玻璃 / 帷幕牆式或抓耙釘式不銹鋼框（46.63）</t>
  </si>
  <si>
    <t>CWW-G09-ALPVC</t>
  </si>
  <si>
    <t>9. 8 mm 強化玻璃 / 帷幕牆式鋁框或塑鋼框（30.32）</t>
  </si>
  <si>
    <t>CWW-G09-SS</t>
  </si>
  <si>
    <t>9. 8 mm 強化玻璃 / 帷幕牆式或抓耙釘式不銹鋼框（46.63）</t>
  </si>
  <si>
    <t>CWW-G10-ALPVC</t>
  </si>
  <si>
    <t>10. 10 mm強化玻璃</t>
  </si>
  <si>
    <t>10. 10 mm強化玻璃 / 帷幕牆式鋁框或塑鋼框（30.32）</t>
  </si>
  <si>
    <t>CWW-G10-SS</t>
  </si>
  <si>
    <t>10. 10 mm強化玻璃 / 帷幕牆式或抓耙釘式不銹鋼框（46.63）</t>
  </si>
  <si>
    <t>CWW-G11-ALPVC</t>
  </si>
  <si>
    <t>11. 5＋5mm雙強化膠合玻璃</t>
  </si>
  <si>
    <t>11. 5＋5mm雙強化膠合玻璃 / 帷幕牆式鋁框或塑鋼框（30.32）</t>
  </si>
  <si>
    <t>CWW-G11-SS</t>
  </si>
  <si>
    <t>11. 5＋5mm雙強化膠合玻璃 / 帷幕牆式或抓耙釘式不銹鋼框（46.63）</t>
  </si>
  <si>
    <t>CWW-G12-ALPVC</t>
  </si>
  <si>
    <t>12. 6＋6mm雙強化膠合玻璃</t>
  </si>
  <si>
    <t>12. 6＋6mm雙強化膠合玻璃 / 帷幕牆式鋁框或塑鋼框（30.32）</t>
  </si>
  <si>
    <t>CWW-G12-SS</t>
  </si>
  <si>
    <t>12. 6＋6mm雙強化膠合玻璃 / 帷幕牆式或抓耙釘式不銹鋼框（46.63）</t>
  </si>
  <si>
    <t>CWW-G13-ALPVC</t>
  </si>
  <si>
    <t>13. 8＋8mm雙強化膠合玻璃</t>
  </si>
  <si>
    <t>13. 8＋8mm雙強化膠合玻璃 / 帷幕牆式鋁框或塑鋼框（30.32）</t>
  </si>
  <si>
    <t>CWW-G13-SS</t>
  </si>
  <si>
    <t>13. 8＋8mm雙強化膠合玻璃 / 帷幕牆式或抓耙釘式不銹鋼框（46.63）</t>
  </si>
  <si>
    <t>CWW-G14-ALPVC</t>
  </si>
  <si>
    <t>14. 6＋6mmLow-E 玻璃</t>
  </si>
  <si>
    <t>14. 6＋6mmLow-E 玻璃 / 帷幕牆式鋁框或塑鋼框（30.32）</t>
  </si>
  <si>
    <t>CWW-G14-SS</t>
  </si>
  <si>
    <t>14. 6＋6mmLow-E 玻璃 / 帷幕牆式或抓耙釘式不銹鋼框（46.63）</t>
  </si>
  <si>
    <t>CWW-G15-ALPVC</t>
  </si>
  <si>
    <t>15. 8＋8mmLow-E 玻璃</t>
  </si>
  <si>
    <t>15. 8＋8mmLow-E 玻璃 / 帷幕牆式鋁框或塑鋼框（30.32）</t>
  </si>
  <si>
    <t>CWW-G15-SS</t>
  </si>
  <si>
    <t>15. 8＋8mmLow-E 玻璃 / 帷幕牆式或抓耙釘式不銹鋼框（46.63）</t>
  </si>
  <si>
    <t>附表 2-4　不透光帷幕外牆及一般外牆新建碳排 Fcwj、更新碳排 Fcwj*、減碳量 ΔFcwj（kgCO2e/㎡）</t>
  </si>
  <si>
    <t>基準構件：傳統 15cm RC 外牆。手冊這張表只有新建碳排一個數字，沒有分基層/表層。　灰底 = 程式驗算（公式）；黃底 = 請你填。</t>
  </si>
  <si>
    <t>新建碳排
Fcwj</t>
  </si>
  <si>
    <t>更新碳排
Fcwj* = Fcwj×c</t>
  </si>
  <si>
    <t>減碳量
ΔFcwj</t>
  </si>
  <si>
    <t>CW-00</t>
  </si>
  <si>
    <t>0.傳統15cm RC 外牆</t>
  </si>
  <si>
    <t>CW-01</t>
  </si>
  <si>
    <t>1.金屬板面內襯隔熱材帷幕牆</t>
  </si>
  <si>
    <t>CW-02</t>
  </si>
  <si>
    <t>2.玻璃面內襯隔熱材帷幕牆</t>
  </si>
  <si>
    <t>CW-03</t>
  </si>
  <si>
    <t>3.石材版內襯隔熱材帷幕牆</t>
  </si>
  <si>
    <t>CW-04</t>
  </si>
  <si>
    <t>4.珐琅鋼板內襯隔熱材帷幕牆</t>
  </si>
  <si>
    <t>CW-05</t>
  </si>
  <si>
    <t>5. 內襯隔熱材預鑄PC 帷幕牆</t>
  </si>
  <si>
    <t>附表 2-5　內隔間新建碳排 Fiwj、更新碳排 Fiwj*、減碳量 ΔFiwj（kgCO2e/㎡）</t>
  </si>
  <si>
    <t>分高／中／低耗損三種建築類別（更新次數不同），各自以磚牆雙面粉刷為基準。　灰底 = 程式驗算（公式）；黃底 = 請你填。</t>
  </si>
  <si>
    <t>建築類別</t>
  </si>
  <si>
    <t>新建碳排
Fiwj</t>
  </si>
  <si>
    <t>更新碳排
Fiwj* = Fiwj×c</t>
  </si>
  <si>
    <t>減碳量
ΔFiwj</t>
  </si>
  <si>
    <t>IW-H-01</t>
  </si>
  <si>
    <t>高耗損</t>
  </si>
  <si>
    <t>1.磚牆雙面粉刷（基準值）</t>
  </si>
  <si>
    <t>IW-H-02</t>
  </si>
  <si>
    <t>2.輕質灌漿牆</t>
  </si>
  <si>
    <t>IW-H-03</t>
  </si>
  <si>
    <t>3.輕隔間牆（矽酸鈣板）</t>
  </si>
  <si>
    <t>IW-H-04</t>
  </si>
  <si>
    <t>4.12 公分RC 隔間牆</t>
  </si>
  <si>
    <t>IW-H-05</t>
  </si>
  <si>
    <t>5.清水空心磚牆</t>
  </si>
  <si>
    <t>IW-H-06</t>
  </si>
  <si>
    <t>6.水泥雙面粉刷空心磚牆</t>
  </si>
  <si>
    <t>IW-M-01</t>
  </si>
  <si>
    <t>中耗損</t>
  </si>
  <si>
    <t>IW-M-02</t>
  </si>
  <si>
    <t>IW-M-03</t>
  </si>
  <si>
    <t>IW-M-04</t>
  </si>
  <si>
    <t>4.RC 隔間牆</t>
  </si>
  <si>
    <t>IW-M-05</t>
  </si>
  <si>
    <t>IW-M-06</t>
  </si>
  <si>
    <t>IW-L-01</t>
  </si>
  <si>
    <t>低耗損</t>
  </si>
  <si>
    <t>IW-L-02</t>
  </si>
  <si>
    <t>IW-L-03</t>
  </si>
  <si>
    <t>IW-L-04</t>
  </si>
  <si>
    <t>IW-L-05</t>
  </si>
  <si>
    <t>IW-L-06</t>
  </si>
  <si>
    <t>附表 2-6　室內地坪新建碳排 Ffj、更新碳排 Ffj*、減碳量 ΔFfj（kgCO2e/㎡）</t>
  </si>
  <si>
    <t>分建築類別 × 一般/木作地坪，各自有基準。⚠ 這張表的「更新次數」在 PDF 裡跨列斷行，程式是依建築類別填入（高耗損 基層1/表層3、中耗損 0/2、低耗損與46-6 0/0.5），請特別核對這兩欄。　灰底 = 程式驗算（公式）；黃底 = 請你填。</t>
  </si>
  <si>
    <t>地坪種類</t>
  </si>
  <si>
    <t>基層(手冊原文)</t>
  </si>
  <si>
    <t>表層(手冊原文)</t>
  </si>
  <si>
    <t>新建碳排
Ffj = a+b</t>
  </si>
  <si>
    <t>更新碳排
Ffj* = a×基層c + b×表層c</t>
  </si>
  <si>
    <t>減碳量
ΔFfj</t>
  </si>
  <si>
    <t>F-H-G01</t>
  </si>
  <si>
    <t>一般地坪</t>
  </si>
  <si>
    <t>1.貼磁磚地坪（基準值）</t>
  </si>
  <si>
    <t>13.58</t>
  </si>
  <si>
    <t>19.65</t>
  </si>
  <si>
    <t>F-H-G02</t>
  </si>
  <si>
    <t>2.整體粉光地坪</t>
  </si>
  <si>
    <t>0.97</t>
  </si>
  <si>
    <t>無表層</t>
  </si>
  <si>
    <t>F-H-G03</t>
  </si>
  <si>
    <t>3.水泥砂漿地坪</t>
  </si>
  <si>
    <t>F-H-G04</t>
  </si>
  <si>
    <t>4.貼石材地坪（軟）</t>
  </si>
  <si>
    <t>18.1</t>
  </si>
  <si>
    <t>3.67</t>
  </si>
  <si>
    <t>F-H-G05</t>
  </si>
  <si>
    <t>5.磨/洗/抿/植石子地坪</t>
  </si>
  <si>
    <t>25.03</t>
  </si>
  <si>
    <t>F-H-G06</t>
  </si>
  <si>
    <t>6.PU/Epoxy/壓花/硬化膜/壓克力樹脂/紙模版</t>
  </si>
  <si>
    <t>7.52</t>
  </si>
  <si>
    <t>F-H-W01</t>
  </si>
  <si>
    <t>木作地坪</t>
  </si>
  <si>
    <t>1.水泥砂漿地坪+角材墊高平鋪超耐磨地板地坪（基準值）</t>
  </si>
  <si>
    <t>20.23</t>
  </si>
  <si>
    <t>F-H-W02</t>
  </si>
  <si>
    <t>2.水泥砂漿地坪+高架實木板、美耐板鋪作地坪</t>
  </si>
  <si>
    <t>17.50</t>
  </si>
  <si>
    <t>F-H-W03</t>
  </si>
  <si>
    <t>3.水泥砂漿地坪+高架超耐磨地板鋪作地坪</t>
  </si>
  <si>
    <t>22.85</t>
  </si>
  <si>
    <t>F-H-W04</t>
  </si>
  <si>
    <t>4.水泥砂漿地坪+角材墊高平鋪實木板、美耐板地坪</t>
  </si>
  <si>
    <t>14.87</t>
  </si>
  <si>
    <t>F-H-W05</t>
  </si>
  <si>
    <t>5.水泥砂漿地坪+直鋪式（墊PS 版）超耐磨地板</t>
  </si>
  <si>
    <t>16.24</t>
  </si>
  <si>
    <t>F-H-W06</t>
  </si>
  <si>
    <t>6.水泥砂漿地坪+貼塑膠地板/方塊地毯</t>
  </si>
  <si>
    <t>5.29</t>
  </si>
  <si>
    <t>F-M-G01</t>
  </si>
  <si>
    <t>F-M-G02</t>
  </si>
  <si>
    <t>F-M-G03</t>
  </si>
  <si>
    <t>F-M-G04</t>
  </si>
  <si>
    <t>4.貼石材地坪</t>
  </si>
  <si>
    <t>F-M-G05</t>
  </si>
  <si>
    <t>F-M-G06</t>
  </si>
  <si>
    <t>F-M-W01</t>
  </si>
  <si>
    <t>F-M-W02</t>
  </si>
  <si>
    <t>F-M-W03</t>
  </si>
  <si>
    <t>F-M-W04</t>
  </si>
  <si>
    <t>F-M-W05</t>
  </si>
  <si>
    <t>F-M-W06</t>
  </si>
  <si>
    <t>F-L-G01</t>
  </si>
  <si>
    <t>F-L-G02</t>
  </si>
  <si>
    <t>F-L-G03</t>
  </si>
  <si>
    <t>F-L-G04</t>
  </si>
  <si>
    <t>F-L-G05</t>
  </si>
  <si>
    <t>F-L-G06</t>
  </si>
  <si>
    <t>F-L-W01</t>
  </si>
  <si>
    <t>F-L-W02</t>
  </si>
  <si>
    <t>F-L-W03</t>
  </si>
  <si>
    <t>F-L-W04</t>
  </si>
  <si>
    <t>F-L-W05</t>
  </si>
  <si>
    <t>F-L-W06</t>
  </si>
  <si>
    <t>F-S-G01</t>
  </si>
  <si>
    <t>46-6分戶樓板</t>
  </si>
  <si>
    <t>1.緩衝材水泥砂漿+貼地磚</t>
  </si>
  <si>
    <t>2.43+13.58</t>
  </si>
  <si>
    <t>F-S-G02</t>
  </si>
  <si>
    <t>2.緩衝材鋼絲網補強混凝土地板+貼地磚</t>
  </si>
  <si>
    <t>22.19</t>
  </si>
  <si>
    <t>F-S-G03</t>
  </si>
  <si>
    <t>3.緩衝材鋼絲網補強混凝土地板+水泥砂漿貼塑膠地磚</t>
  </si>
  <si>
    <t>F-S-W01</t>
  </si>
  <si>
    <t>1.緩衝材鋼絲網補強混凝土地板+直鋪式超耐磨地板（基準值）</t>
  </si>
  <si>
    <t>16.23</t>
  </si>
  <si>
    <t>F-S-W02</t>
  </si>
  <si>
    <t>2.緩衝材+平鋪超耐磨地板</t>
  </si>
  <si>
    <t>無基層</t>
  </si>
  <si>
    <t>2.43+16.24</t>
  </si>
  <si>
    <t>F-S-W03</t>
  </si>
  <si>
    <t>3.緩衝材角材架高+直鋪式厚版超耐磨地板</t>
  </si>
  <si>
    <t>18.47+24.0</t>
  </si>
  <si>
    <t>附表 2-7　戶外地坪新建碳排 Fpj、更新碳排 Fpj*、減碳量 ΔFpj（kgCO2e/㎡）</t>
  </si>
  <si>
    <t>分建築類別 × RC 基礎/碎石基礎，各自有基準。基層 60 年不更新，只算表層更新。　灰底 = 程式驗算（公式）；黃底 = 請你填。</t>
  </si>
  <si>
    <t>基層結構</t>
  </si>
  <si>
    <t>基層結構碳排 a</t>
  </si>
  <si>
    <t>新建碳排
Fpj = a+b</t>
  </si>
  <si>
    <t>更新碳排
Fpj* = b×c</t>
  </si>
  <si>
    <t>減碳量
ΔFpj</t>
  </si>
  <si>
    <t>P-H-RC01</t>
  </si>
  <si>
    <t>RC 基礎（60.10）</t>
  </si>
  <si>
    <t>貼磁磚（基準值）</t>
  </si>
  <si>
    <t>P-H-RC02</t>
  </si>
  <si>
    <t>貼水泥磚/連鎖磚</t>
  </si>
  <si>
    <t>P-H-RC03</t>
  </si>
  <si>
    <t>水泥粉刷</t>
  </si>
  <si>
    <t>P-H-RC04</t>
  </si>
  <si>
    <t>瀝青混凝土</t>
  </si>
  <si>
    <t>P-H-RC05</t>
  </si>
  <si>
    <t>抿/洗/斬石子</t>
  </si>
  <si>
    <t>P-H-RC06</t>
  </si>
  <si>
    <t>貼石材</t>
  </si>
  <si>
    <t>P-H-RC07</t>
  </si>
  <si>
    <t>PU/壓克力樹脂/紙模版/樹脂壓花地坪</t>
  </si>
  <si>
    <t>P-H-RC08</t>
  </si>
  <si>
    <t>Epoxy 地坪</t>
  </si>
  <si>
    <t>P-H-GR01</t>
  </si>
  <si>
    <t>碎石基礎（2.57）</t>
  </si>
  <si>
    <t>乾砌植草磚（基準值）</t>
  </si>
  <si>
    <t>P-H-GR02</t>
  </si>
  <si>
    <t>清碎石路面</t>
  </si>
  <si>
    <t>P-H-GR03</t>
  </si>
  <si>
    <t>P-H-GR04</t>
  </si>
  <si>
    <t>乾砌石塊</t>
  </si>
  <si>
    <t>P-H-GR05</t>
  </si>
  <si>
    <t>乾砌石板</t>
  </si>
  <si>
    <t>P-H-GR06</t>
  </si>
  <si>
    <t>乾砌水泥磚/連鎖磚</t>
  </si>
  <si>
    <t>P-H-GR07</t>
  </si>
  <si>
    <t>JW 工法透水 RC 鋪面（註2）</t>
  </si>
  <si>
    <t>P-M-RC01</t>
  </si>
  <si>
    <t>P-M-RC02</t>
  </si>
  <si>
    <t>P-M-RC03</t>
  </si>
  <si>
    <t>P-M-RC04</t>
  </si>
  <si>
    <t>P-M-RC05</t>
  </si>
  <si>
    <t>P-M-RC06</t>
  </si>
  <si>
    <t>P-M-RC07</t>
  </si>
  <si>
    <t>P-M-RC08</t>
  </si>
  <si>
    <t>P-M-GR01</t>
  </si>
  <si>
    <t>P-M-GR02</t>
  </si>
  <si>
    <t>P-M-GR03</t>
  </si>
  <si>
    <t>P-M-GR04</t>
  </si>
  <si>
    <t>P-M-GR05</t>
  </si>
  <si>
    <t>P-M-GR06</t>
  </si>
  <si>
    <t>P-M-GR07</t>
  </si>
  <si>
    <t>P-L-RC01</t>
  </si>
  <si>
    <t>P-L-RC02</t>
  </si>
  <si>
    <t>P-L-RC03</t>
  </si>
  <si>
    <t>P-L-RC04</t>
  </si>
  <si>
    <t>P-L-RC05</t>
  </si>
  <si>
    <t>P-L-RC06</t>
  </si>
  <si>
    <t>P-L-RC07</t>
  </si>
  <si>
    <t>P-L-RC08</t>
  </si>
  <si>
    <t>P-L-GR01</t>
  </si>
  <si>
    <t>P-L-GR02</t>
  </si>
  <si>
    <t>P-L-GR03</t>
  </si>
  <si>
    <t>P-L-GR04</t>
  </si>
  <si>
    <t>P-L-GR05</t>
  </si>
  <si>
    <t>P-L-GR06</t>
  </si>
  <si>
    <t>P-L-GR07</t>
  </si>
  <si>
    <t>JW 工法透水RC 鋪面（註3）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</si>
</sst>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新細明體"/>
      <family val="2"/>
      <scheme val="minor"/>
    </font>
    <font>
      <b/>
      <sz val="14"/>
      <name val="Microsoft JhengHei"/>
      <family val="2"/>
      <charset val="136"/>
    </font>
    <font>
      <b/>
      <sz val="12"/>
      <name val="Microsoft JhengHei"/>
      <family val="2"/>
      <charset val="136"/>
    </font>
    <font>
      <sz val="10"/>
      <name val="Microsoft JhengHei"/>
      <family val="2"/>
      <charset val="136"/>
    </font>
    <font>
      <b/>
      <sz val="10"/>
      <color rgb="FFFFFFFF"/>
      <name val="Microsoft JhengHei"/>
      <family val="2"/>
      <charset val="136"/>
    </font>
    <font>
      <sz val="9"/>
      <name val="新細明體"/>
      <family val="3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546A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/>
  </cellXfs>
  <cellStyles count="1">
    <cellStyle name="一般" xfId="0" builtinId="0"/>
  </cellStyles>
  <dxfs count="16"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"/>
  <sheetViews>
    <sheetView tabSelected="1" workbookViewId="0"/>
  </sheetViews>
  <sheetFormatPr defaultRowHeight="15"/>
  <cols>
    <col min="1" max="1" width="110" customWidth="1"/>
  </cols>
  <sheetData>
    <row r="1" spans="1:1" ht="18">
      <c r="A1" s="1" t="s">
        <v>0</v>
      </c>
    </row>
    <row r="3" spans="1:1" ht="15.6">
      <c r="A3" s="2" t="s">
        <v>1</v>
      </c>
    </row>
    <row r="4" spans="1:1" ht="27.6">
      <c r="A4" s="3" t="s">
        <v>2</v>
      </c>
    </row>
    <row r="5" spans="1:1">
      <c r="A5" s="3"/>
    </row>
    <row r="6" spans="1:1" ht="15.6">
      <c r="A6" s="2" t="s">
        <v>3</v>
      </c>
    </row>
    <row r="7" spans="1:1" ht="27.6">
      <c r="A7" s="3" t="s">
        <v>4</v>
      </c>
    </row>
    <row r="8" spans="1:1">
      <c r="A8" s="3" t="s">
        <v>5</v>
      </c>
    </row>
    <row r="9" spans="1:1" ht="27.6">
      <c r="A9" s="3" t="s">
        <v>6</v>
      </c>
    </row>
    <row r="10" spans="1:1">
      <c r="A10" s="3"/>
    </row>
    <row r="11" spans="1:1">
      <c r="A11" s="3" t="s">
        <v>7</v>
      </c>
    </row>
    <row r="12" spans="1:1">
      <c r="A12" s="3" t="s">
        <v>8</v>
      </c>
    </row>
    <row r="13" spans="1:1">
      <c r="A13" s="3" t="s">
        <v>9</v>
      </c>
    </row>
    <row r="14" spans="1:1">
      <c r="A14" s="3" t="s">
        <v>10</v>
      </c>
    </row>
    <row r="15" spans="1:1">
      <c r="A15" s="3" t="s">
        <v>11</v>
      </c>
    </row>
    <row r="16" spans="1:1">
      <c r="A16" s="3" t="s">
        <v>12</v>
      </c>
    </row>
    <row r="17" spans="1:1">
      <c r="A17" s="3"/>
    </row>
    <row r="18" spans="1:1" ht="15.6">
      <c r="A18" s="2" t="s">
        <v>13</v>
      </c>
    </row>
    <row r="19" spans="1:1" ht="27.6">
      <c r="A19" s="3" t="s">
        <v>14</v>
      </c>
    </row>
    <row r="20" spans="1:1">
      <c r="A20" s="3" t="s">
        <v>15</v>
      </c>
    </row>
    <row r="21" spans="1:1">
      <c r="A21" s="3"/>
    </row>
    <row r="22" spans="1:1" ht="15.6">
      <c r="A22" s="2" t="s">
        <v>16</v>
      </c>
    </row>
    <row r="23" spans="1:1">
      <c r="A23" s="3" t="s">
        <v>17</v>
      </c>
    </row>
    <row r="24" spans="1:1">
      <c r="A24" s="3"/>
    </row>
    <row r="25" spans="1:1" ht="15.6">
      <c r="A25" s="2" t="s">
        <v>18</v>
      </c>
    </row>
    <row r="26" spans="1:1">
      <c r="A26" s="3" t="s">
        <v>19</v>
      </c>
    </row>
    <row r="27" spans="1:1">
      <c r="A27" s="3" t="s">
        <v>20</v>
      </c>
    </row>
    <row r="28" spans="1:1">
      <c r="A28" s="3" t="s">
        <v>21</v>
      </c>
    </row>
    <row r="29" spans="1:1">
      <c r="A29" s="3" t="s">
        <v>22</v>
      </c>
    </row>
    <row r="30" spans="1:1">
      <c r="A30" s="3" t="s">
        <v>23</v>
      </c>
    </row>
  </sheetData>
  <phoneticPr fontId="5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0" customWidth="1"/>
    <col min="2" max="2" width="34" customWidth="1"/>
    <col min="3" max="3" width="9" customWidth="1"/>
    <col min="4" max="4" width="34" customWidth="1"/>
    <col min="5" max="5" width="40" customWidth="1"/>
    <col min="6" max="6" width="26" customWidth="1"/>
    <col min="7" max="7" width="20" customWidth="1"/>
    <col min="8" max="8" width="24" customWidth="1"/>
  </cols>
  <sheetData>
    <row r="1" spans="1:8" ht="18">
      <c r="A1" s="1" t="s">
        <v>24</v>
      </c>
    </row>
    <row r="2" spans="1:8" ht="48" customHeight="1">
      <c r="A2" s="9" t="s">
        <v>25</v>
      </c>
      <c r="B2" s="10"/>
      <c r="C2" s="10"/>
      <c r="D2" s="10"/>
      <c r="E2" s="10"/>
      <c r="F2" s="10"/>
      <c r="G2" s="10"/>
      <c r="H2" s="10"/>
    </row>
    <row r="4" spans="1:8" ht="42" customHeight="1">
      <c r="A4" s="4" t="s">
        <v>26</v>
      </c>
      <c r="B4" s="4" t="s">
        <v>27</v>
      </c>
      <c r="C4" s="4" t="s">
        <v>28</v>
      </c>
      <c r="D4" s="4" t="s">
        <v>29</v>
      </c>
      <c r="E4" s="4" t="s">
        <v>30</v>
      </c>
      <c r="F4" s="4" t="s">
        <v>31</v>
      </c>
      <c r="G4" s="4" t="s">
        <v>32</v>
      </c>
      <c r="H4" s="4" t="s">
        <v>33</v>
      </c>
    </row>
    <row r="5" spans="1:8" ht="27.6">
      <c r="A5" s="5" t="s">
        <v>34</v>
      </c>
      <c r="B5" s="5" t="s">
        <v>35</v>
      </c>
      <c r="C5" s="5">
        <v>53</v>
      </c>
      <c r="D5" s="5" t="s">
        <v>36</v>
      </c>
      <c r="E5" s="5" t="s">
        <v>37</v>
      </c>
      <c r="F5" s="5" t="s">
        <v>38</v>
      </c>
      <c r="G5" s="6"/>
      <c r="H5" s="6"/>
    </row>
    <row r="6" spans="1:8" ht="27.6">
      <c r="A6" s="5" t="s">
        <v>34</v>
      </c>
      <c r="B6" s="5" t="s">
        <v>39</v>
      </c>
      <c r="C6" s="5">
        <v>52</v>
      </c>
      <c r="D6" s="5" t="s">
        <v>40</v>
      </c>
      <c r="E6" s="5" t="s">
        <v>41</v>
      </c>
      <c r="F6" s="5" t="s">
        <v>42</v>
      </c>
      <c r="G6" s="6"/>
      <c r="H6" s="6"/>
    </row>
    <row r="7" spans="1:8" ht="27.6">
      <c r="A7" s="5" t="s">
        <v>34</v>
      </c>
      <c r="B7" s="5" t="s">
        <v>43</v>
      </c>
      <c r="C7" s="5">
        <v>55</v>
      </c>
      <c r="D7" s="5" t="s">
        <v>44</v>
      </c>
      <c r="E7" s="5" t="s">
        <v>45</v>
      </c>
      <c r="F7" s="5" t="s">
        <v>46</v>
      </c>
      <c r="G7" s="6"/>
      <c r="H7" s="6"/>
    </row>
    <row r="8" spans="1:8" ht="27.6">
      <c r="A8" s="5" t="s">
        <v>47</v>
      </c>
      <c r="B8" s="5" t="s">
        <v>48</v>
      </c>
      <c r="C8" s="5">
        <v>56</v>
      </c>
      <c r="D8" s="5" t="s">
        <v>49</v>
      </c>
      <c r="E8" s="5" t="s">
        <v>50</v>
      </c>
      <c r="F8" s="5" t="s">
        <v>51</v>
      </c>
      <c r="G8" s="6"/>
      <c r="H8" s="6"/>
    </row>
    <row r="9" spans="1:8" ht="27.6">
      <c r="A9" s="5" t="s">
        <v>52</v>
      </c>
      <c r="B9" s="5" t="s">
        <v>53</v>
      </c>
      <c r="C9" s="5">
        <v>58</v>
      </c>
      <c r="D9" s="5" t="s">
        <v>54</v>
      </c>
      <c r="E9" s="5" t="s">
        <v>55</v>
      </c>
      <c r="F9" s="5" t="s">
        <v>56</v>
      </c>
      <c r="G9" s="6"/>
      <c r="H9" s="6"/>
    </row>
    <row r="10" spans="1:8" ht="27.6">
      <c r="A10" s="5" t="s">
        <v>52</v>
      </c>
      <c r="B10" s="5" t="s">
        <v>57</v>
      </c>
      <c r="C10" s="5">
        <v>58</v>
      </c>
      <c r="D10" s="5" t="s">
        <v>58</v>
      </c>
      <c r="E10" s="5" t="s">
        <v>59</v>
      </c>
      <c r="F10" s="5" t="s">
        <v>60</v>
      </c>
      <c r="G10" s="6"/>
      <c r="H10" s="6"/>
    </row>
    <row r="11" spans="1:8" ht="27.6">
      <c r="A11" s="5" t="s">
        <v>61</v>
      </c>
      <c r="B11" s="5" t="s">
        <v>62</v>
      </c>
      <c r="C11" s="5">
        <v>61</v>
      </c>
      <c r="D11" s="5" t="s">
        <v>63</v>
      </c>
      <c r="E11" s="5" t="s">
        <v>64</v>
      </c>
      <c r="F11" s="5" t="s">
        <v>65</v>
      </c>
      <c r="G11" s="6"/>
      <c r="H11" s="6"/>
    </row>
    <row r="12" spans="1:8" ht="27.6">
      <c r="A12" s="5" t="s">
        <v>61</v>
      </c>
      <c r="B12" s="5" t="s">
        <v>66</v>
      </c>
      <c r="C12" s="5">
        <v>62</v>
      </c>
      <c r="D12" s="5" t="s">
        <v>67</v>
      </c>
      <c r="E12" s="5" t="s">
        <v>68</v>
      </c>
      <c r="F12" s="5" t="s">
        <v>69</v>
      </c>
      <c r="G12" s="6"/>
      <c r="H12" s="6"/>
    </row>
    <row r="13" spans="1:8" ht="27.6">
      <c r="A13" s="5" t="s">
        <v>61</v>
      </c>
      <c r="B13" s="5" t="s">
        <v>70</v>
      </c>
      <c r="C13" s="5">
        <v>62</v>
      </c>
      <c r="D13" s="5" t="s">
        <v>71</v>
      </c>
      <c r="E13" s="5" t="s">
        <v>72</v>
      </c>
      <c r="F13" s="5" t="s">
        <v>46</v>
      </c>
      <c r="G13" s="6"/>
      <c r="H13" s="6"/>
    </row>
    <row r="14" spans="1:8" ht="27.6">
      <c r="A14" s="5" t="s">
        <v>61</v>
      </c>
      <c r="B14" s="5" t="s">
        <v>73</v>
      </c>
      <c r="C14" s="5">
        <v>62</v>
      </c>
      <c r="D14" s="5" t="s">
        <v>74</v>
      </c>
      <c r="E14" s="5" t="s">
        <v>75</v>
      </c>
      <c r="F14" s="5" t="s">
        <v>46</v>
      </c>
      <c r="G14" s="6"/>
      <c r="H14" s="6"/>
    </row>
  </sheetData>
  <mergeCells count="1">
    <mergeCell ref="A2:H2"/>
  </mergeCells>
  <phoneticPr fontId="5" type="noConversion"/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24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/>
  <cols>
    <col min="1" max="1" width="10" customWidth="1"/>
    <col min="2" max="2" width="9" customWidth="1"/>
    <col min="3" max="3" width="30" customWidth="1"/>
    <col min="4" max="4" width="6" customWidth="1"/>
    <col min="5" max="8" width="10" customWidth="1"/>
    <col min="9" max="9" width="11" customWidth="1"/>
    <col min="10" max="10" width="16" customWidth="1"/>
    <col min="11" max="11" width="22" customWidth="1"/>
    <col min="12" max="12" width="9" customWidth="1"/>
    <col min="13" max="13" width="11" customWidth="1"/>
    <col min="14" max="14" width="16" customWidth="1"/>
    <col min="15" max="15" width="22" customWidth="1"/>
    <col min="16" max="16" width="11" customWidth="1"/>
    <col min="17" max="17" width="24" customWidth="1"/>
  </cols>
  <sheetData>
    <row r="1" spans="1:17" ht="18">
      <c r="A1" s="1" t="s">
        <v>76</v>
      </c>
    </row>
    <row r="2" spans="1:17" ht="48" customHeight="1">
      <c r="A2" s="9" t="s">
        <v>77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4" spans="1:17" ht="42" customHeight="1">
      <c r="A4" s="4" t="s">
        <v>78</v>
      </c>
      <c r="B4" s="4" t="s">
        <v>79</v>
      </c>
      <c r="C4" s="4" t="s">
        <v>80</v>
      </c>
      <c r="D4" s="4" t="s">
        <v>81</v>
      </c>
      <c r="E4" s="4" t="s">
        <v>82</v>
      </c>
      <c r="F4" s="4" t="s">
        <v>83</v>
      </c>
      <c r="G4" s="4" t="s">
        <v>84</v>
      </c>
      <c r="H4" s="4" t="s">
        <v>85</v>
      </c>
      <c r="I4" s="4" t="s">
        <v>86</v>
      </c>
      <c r="J4" s="4" t="s">
        <v>87</v>
      </c>
      <c r="K4" s="4" t="s">
        <v>88</v>
      </c>
      <c r="L4" s="4" t="s">
        <v>89</v>
      </c>
      <c r="M4" s="4" t="s">
        <v>90</v>
      </c>
      <c r="N4" s="4" t="s">
        <v>91</v>
      </c>
      <c r="O4" s="4" t="s">
        <v>92</v>
      </c>
      <c r="P4" s="4" t="s">
        <v>93</v>
      </c>
      <c r="Q4" s="4" t="s">
        <v>33</v>
      </c>
    </row>
    <row r="5" spans="1:17" ht="27.6">
      <c r="A5" s="5" t="s">
        <v>94</v>
      </c>
      <c r="B5" s="5" t="s">
        <v>95</v>
      </c>
      <c r="C5" s="5" t="s">
        <v>96</v>
      </c>
      <c r="D5" s="5" t="s">
        <v>97</v>
      </c>
      <c r="E5" s="5">
        <v>2.2599999999999998</v>
      </c>
      <c r="F5" s="5"/>
      <c r="G5" s="5"/>
      <c r="H5" s="5">
        <v>1.0999999999999999E-2</v>
      </c>
      <c r="I5" s="5">
        <v>2.27</v>
      </c>
      <c r="J5" s="5" t="s">
        <v>98</v>
      </c>
      <c r="K5" s="5"/>
      <c r="L5" s="5">
        <v>52</v>
      </c>
      <c r="M5" s="7">
        <f t="shared" ref="M5:M36" si="0">IF(COUNT(E5:H5)=0,"",SUM(E5:H5))</f>
        <v>2.2709999999999999</v>
      </c>
      <c r="N5" s="7" t="str">
        <f t="shared" ref="N5:N36" si="1">IF(COUNT(E5:H5)=0,"只有總量（無法驗算）",IF(ABS(SUM(E5:H5)-I5)&lt;=0.015,"✓ 通過","⚠ 加總≠總量"))</f>
        <v>✓ 通過</v>
      </c>
      <c r="O5" s="7" t="s">
        <v>99</v>
      </c>
      <c r="P5" s="6"/>
      <c r="Q5" s="6"/>
    </row>
    <row r="6" spans="1:17" ht="27.6">
      <c r="A6" s="5" t="s">
        <v>100</v>
      </c>
      <c r="B6" s="5" t="s">
        <v>95</v>
      </c>
      <c r="C6" s="5" t="s">
        <v>101</v>
      </c>
      <c r="D6" s="5" t="s">
        <v>97</v>
      </c>
      <c r="E6" s="5">
        <v>0.14699999999999999</v>
      </c>
      <c r="F6" s="5">
        <v>8.1000000000000003E-2</v>
      </c>
      <c r="G6" s="5">
        <v>0.4</v>
      </c>
      <c r="H6" s="5">
        <v>1.0999999999999999E-2</v>
      </c>
      <c r="I6" s="5">
        <v>0.64</v>
      </c>
      <c r="J6" s="5"/>
      <c r="K6" s="5"/>
      <c r="L6" s="5">
        <v>52</v>
      </c>
      <c r="M6" s="7">
        <f t="shared" si="0"/>
        <v>0.63900000000000001</v>
      </c>
      <c r="N6" s="7" t="str">
        <f t="shared" si="1"/>
        <v>✓ 通過</v>
      </c>
      <c r="O6" s="7" t="s">
        <v>99</v>
      </c>
      <c r="P6" s="6"/>
      <c r="Q6" s="6"/>
    </row>
    <row r="7" spans="1:17" ht="27.6">
      <c r="A7" s="5" t="s">
        <v>102</v>
      </c>
      <c r="B7" s="5" t="s">
        <v>95</v>
      </c>
      <c r="C7" s="5" t="s">
        <v>103</v>
      </c>
      <c r="D7" s="5" t="s">
        <v>97</v>
      </c>
      <c r="E7" s="5">
        <v>0.96399999999999997</v>
      </c>
      <c r="F7" s="5"/>
      <c r="G7" s="5">
        <v>0.16800000000000001</v>
      </c>
      <c r="H7" s="5">
        <v>1.7000000000000001E-2</v>
      </c>
      <c r="I7" s="5">
        <v>1.1499999999999999</v>
      </c>
      <c r="J7" s="5" t="s">
        <v>104</v>
      </c>
      <c r="K7" s="5"/>
      <c r="L7" s="5">
        <v>52</v>
      </c>
      <c r="M7" s="7">
        <f t="shared" si="0"/>
        <v>1.1489999999999998</v>
      </c>
      <c r="N7" s="7" t="str">
        <f t="shared" si="1"/>
        <v>✓ 通過</v>
      </c>
      <c r="O7" s="7" t="s">
        <v>99</v>
      </c>
      <c r="P7" s="6"/>
      <c r="Q7" s="6"/>
    </row>
    <row r="8" spans="1:17" ht="27.6">
      <c r="A8" s="5" t="s">
        <v>105</v>
      </c>
      <c r="B8" s="5" t="s">
        <v>95</v>
      </c>
      <c r="C8" s="5" t="s">
        <v>106</v>
      </c>
      <c r="D8" s="5" t="s">
        <v>97</v>
      </c>
      <c r="E8" s="5">
        <v>0.96399999999999997</v>
      </c>
      <c r="F8" s="5"/>
      <c r="G8" s="5">
        <v>0.185</v>
      </c>
      <c r="H8" s="5">
        <v>1.2999999999999999E-2</v>
      </c>
      <c r="I8" s="5">
        <v>1.1599999999999999</v>
      </c>
      <c r="J8" s="5" t="s">
        <v>104</v>
      </c>
      <c r="K8" s="5"/>
      <c r="L8" s="5">
        <v>52</v>
      </c>
      <c r="M8" s="7">
        <f t="shared" si="0"/>
        <v>1.1619999999999999</v>
      </c>
      <c r="N8" s="7" t="str">
        <f t="shared" si="1"/>
        <v>✓ 通過</v>
      </c>
      <c r="O8" s="7" t="s">
        <v>99</v>
      </c>
      <c r="P8" s="6"/>
      <c r="Q8" s="6"/>
    </row>
    <row r="9" spans="1:17" ht="27.6">
      <c r="A9" s="5" t="s">
        <v>107</v>
      </c>
      <c r="B9" s="5" t="s">
        <v>95</v>
      </c>
      <c r="C9" s="5" t="s">
        <v>108</v>
      </c>
      <c r="D9" s="5" t="s">
        <v>97</v>
      </c>
      <c r="E9" s="5">
        <v>1.1299999999999999</v>
      </c>
      <c r="F9" s="5">
        <v>0.183</v>
      </c>
      <c r="G9" s="5">
        <v>0.88</v>
      </c>
      <c r="H9" s="5">
        <v>8.9999999999999993E-3</v>
      </c>
      <c r="I9" s="5">
        <v>2.2000000000000002</v>
      </c>
      <c r="J9" s="5"/>
      <c r="K9" s="5"/>
      <c r="L9" s="5">
        <v>52</v>
      </c>
      <c r="M9" s="7">
        <f t="shared" si="0"/>
        <v>2.202</v>
      </c>
      <c r="N9" s="7" t="str">
        <f t="shared" si="1"/>
        <v>✓ 通過</v>
      </c>
      <c r="O9" s="7" t="s">
        <v>99</v>
      </c>
      <c r="P9" s="6"/>
      <c r="Q9" s="6"/>
    </row>
    <row r="10" spans="1:17" ht="27.6">
      <c r="A10" s="5" t="s">
        <v>109</v>
      </c>
      <c r="B10" s="5" t="s">
        <v>95</v>
      </c>
      <c r="C10" s="5" t="s">
        <v>110</v>
      </c>
      <c r="D10" s="5" t="s">
        <v>97</v>
      </c>
      <c r="E10" s="5">
        <v>1.1299999999999999</v>
      </c>
      <c r="F10" s="5">
        <v>0.183</v>
      </c>
      <c r="G10" s="5">
        <v>0.91500000000000004</v>
      </c>
      <c r="H10" s="5">
        <v>2.5999999999999999E-2</v>
      </c>
      <c r="I10" s="5">
        <v>2.25</v>
      </c>
      <c r="J10" s="5"/>
      <c r="K10" s="5"/>
      <c r="L10" s="5">
        <v>52</v>
      </c>
      <c r="M10" s="7">
        <f t="shared" si="0"/>
        <v>2.2539999999999996</v>
      </c>
      <c r="N10" s="7" t="str">
        <f t="shared" si="1"/>
        <v>✓ 通過</v>
      </c>
      <c r="O10" s="7" t="s">
        <v>99</v>
      </c>
      <c r="P10" s="6"/>
      <c r="Q10" s="6"/>
    </row>
    <row r="11" spans="1:17" ht="27.6">
      <c r="A11" s="5" t="s">
        <v>111</v>
      </c>
      <c r="B11" s="5" t="s">
        <v>95</v>
      </c>
      <c r="C11" s="5" t="s">
        <v>112</v>
      </c>
      <c r="D11" s="5" t="s">
        <v>97</v>
      </c>
      <c r="E11" s="5">
        <v>0.96399999999999997</v>
      </c>
      <c r="F11" s="5"/>
      <c r="G11" s="5">
        <v>0.28499999999999998</v>
      </c>
      <c r="H11" s="5">
        <v>2.5999999999999999E-2</v>
      </c>
      <c r="I11" s="5">
        <v>1.28</v>
      </c>
      <c r="J11" s="5" t="s">
        <v>104</v>
      </c>
      <c r="K11" s="5"/>
      <c r="L11" s="5">
        <v>52</v>
      </c>
      <c r="M11" s="7">
        <f t="shared" si="0"/>
        <v>1.2749999999999999</v>
      </c>
      <c r="N11" s="7" t="str">
        <f t="shared" si="1"/>
        <v>✓ 通過</v>
      </c>
      <c r="O11" s="7" t="s">
        <v>99</v>
      </c>
      <c r="P11" s="6"/>
      <c r="Q11" s="6"/>
    </row>
    <row r="12" spans="1:17" ht="27.6">
      <c r="A12" s="5" t="s">
        <v>113</v>
      </c>
      <c r="B12" s="5" t="s">
        <v>95</v>
      </c>
      <c r="C12" s="5" t="s">
        <v>114</v>
      </c>
      <c r="D12" s="5" t="s">
        <v>97</v>
      </c>
      <c r="E12" s="5">
        <v>0.96399999999999997</v>
      </c>
      <c r="F12" s="5"/>
      <c r="G12" s="5">
        <v>0.435</v>
      </c>
      <c r="H12" s="5">
        <v>2.5999999999999999E-2</v>
      </c>
      <c r="I12" s="5">
        <v>1.43</v>
      </c>
      <c r="J12" s="5" t="s">
        <v>104</v>
      </c>
      <c r="K12" s="5"/>
      <c r="L12" s="5">
        <v>52</v>
      </c>
      <c r="M12" s="7">
        <f t="shared" si="0"/>
        <v>1.425</v>
      </c>
      <c r="N12" s="7" t="str">
        <f t="shared" si="1"/>
        <v>✓ 通過</v>
      </c>
      <c r="O12" s="7" t="s">
        <v>99</v>
      </c>
      <c r="P12" s="6"/>
      <c r="Q12" s="6"/>
    </row>
    <row r="13" spans="1:17" ht="27.6">
      <c r="A13" s="5" t="s">
        <v>115</v>
      </c>
      <c r="B13" s="5" t="s">
        <v>95</v>
      </c>
      <c r="C13" s="5" t="s">
        <v>116</v>
      </c>
      <c r="D13" s="5" t="s">
        <v>97</v>
      </c>
      <c r="E13" s="5">
        <v>12.2</v>
      </c>
      <c r="F13" s="5">
        <v>0.33</v>
      </c>
      <c r="G13" s="5"/>
      <c r="H13" s="5">
        <v>0.01</v>
      </c>
      <c r="I13" s="5">
        <v>12.54</v>
      </c>
      <c r="J13" s="5"/>
      <c r="K13" s="5"/>
      <c r="L13" s="5">
        <v>52</v>
      </c>
      <c r="M13" s="7">
        <f t="shared" si="0"/>
        <v>12.54</v>
      </c>
      <c r="N13" s="7" t="str">
        <f t="shared" si="1"/>
        <v>✓ 通過</v>
      </c>
      <c r="O13" s="7" t="s">
        <v>99</v>
      </c>
      <c r="P13" s="6"/>
      <c r="Q13" s="6"/>
    </row>
    <row r="14" spans="1:17" ht="27.6">
      <c r="A14" s="5" t="s">
        <v>117</v>
      </c>
      <c r="B14" s="5" t="s">
        <v>95</v>
      </c>
      <c r="C14" s="5" t="s">
        <v>118</v>
      </c>
      <c r="D14" s="5" t="s">
        <v>97</v>
      </c>
      <c r="E14" s="5">
        <v>3.75</v>
      </c>
      <c r="F14" s="5">
        <v>0.187</v>
      </c>
      <c r="G14" s="5"/>
      <c r="H14" s="5">
        <v>0.01</v>
      </c>
      <c r="I14" s="5">
        <v>3.95</v>
      </c>
      <c r="J14" s="5"/>
      <c r="K14" s="5"/>
      <c r="L14" s="5">
        <v>52</v>
      </c>
      <c r="M14" s="7">
        <f t="shared" si="0"/>
        <v>3.9469999999999996</v>
      </c>
      <c r="N14" s="7" t="str">
        <f t="shared" si="1"/>
        <v>✓ 通過</v>
      </c>
      <c r="O14" s="7" t="s">
        <v>99</v>
      </c>
      <c r="P14" s="6"/>
      <c r="Q14" s="6"/>
    </row>
    <row r="15" spans="1:17" ht="27.6">
      <c r="A15" s="5" t="s">
        <v>119</v>
      </c>
      <c r="B15" s="5" t="s">
        <v>95</v>
      </c>
      <c r="C15" s="5" t="s">
        <v>120</v>
      </c>
      <c r="D15" s="5" t="s">
        <v>97</v>
      </c>
      <c r="E15" s="5">
        <v>3.75</v>
      </c>
      <c r="F15" s="5">
        <v>0.187</v>
      </c>
      <c r="G15" s="5">
        <v>0.36599999999999999</v>
      </c>
      <c r="H15" s="5">
        <v>5.4999999999999997E-3</v>
      </c>
      <c r="I15" s="5">
        <v>4.3099999999999996</v>
      </c>
      <c r="J15" s="5"/>
      <c r="K15" s="5"/>
      <c r="L15" s="5">
        <v>52</v>
      </c>
      <c r="M15" s="7">
        <f t="shared" si="0"/>
        <v>4.3084999999999996</v>
      </c>
      <c r="N15" s="7" t="str">
        <f t="shared" si="1"/>
        <v>✓ 通過</v>
      </c>
      <c r="O15" s="7" t="s">
        <v>99</v>
      </c>
      <c r="P15" s="6"/>
      <c r="Q15" s="6"/>
    </row>
    <row r="16" spans="1:17" ht="27.6">
      <c r="A16" s="5" t="s">
        <v>121</v>
      </c>
      <c r="B16" s="5" t="s">
        <v>95</v>
      </c>
      <c r="C16" s="5" t="s">
        <v>122</v>
      </c>
      <c r="D16" s="5" t="s">
        <v>97</v>
      </c>
      <c r="E16" s="5">
        <v>3.3</v>
      </c>
      <c r="F16" s="5"/>
      <c r="G16" s="5"/>
      <c r="H16" s="5">
        <v>5.4999999999999997E-3</v>
      </c>
      <c r="I16" s="5">
        <v>3.31</v>
      </c>
      <c r="J16" s="5" t="s">
        <v>98</v>
      </c>
      <c r="K16" s="5"/>
      <c r="L16" s="5">
        <v>52</v>
      </c>
      <c r="M16" s="7">
        <f t="shared" si="0"/>
        <v>3.3054999999999999</v>
      </c>
      <c r="N16" s="7" t="str">
        <f t="shared" si="1"/>
        <v>✓ 通過</v>
      </c>
      <c r="O16" s="7" t="s">
        <v>99</v>
      </c>
      <c r="P16" s="6"/>
      <c r="Q16" s="6"/>
    </row>
    <row r="17" spans="1:17" ht="27.6">
      <c r="A17" s="5" t="s">
        <v>123</v>
      </c>
      <c r="B17" s="5" t="s">
        <v>95</v>
      </c>
      <c r="C17" s="5" t="s">
        <v>122</v>
      </c>
      <c r="D17" s="5" t="s">
        <v>124</v>
      </c>
      <c r="E17" s="5">
        <v>14.4</v>
      </c>
      <c r="F17" s="5"/>
      <c r="G17" s="5"/>
      <c r="H17" s="5">
        <v>5.4999999999999997E-3</v>
      </c>
      <c r="I17" s="5">
        <v>14.38</v>
      </c>
      <c r="J17" s="5" t="s">
        <v>98</v>
      </c>
      <c r="K17" s="5"/>
      <c r="L17" s="5">
        <v>52</v>
      </c>
      <c r="M17" s="7">
        <f t="shared" si="0"/>
        <v>14.4055</v>
      </c>
      <c r="N17" s="7" t="str">
        <f t="shared" si="1"/>
        <v>⚠ 加總≠總量</v>
      </c>
      <c r="O17" s="7" t="s">
        <v>99</v>
      </c>
      <c r="P17" s="6"/>
      <c r="Q17" s="6"/>
    </row>
    <row r="18" spans="1:17" ht="27.6">
      <c r="A18" s="5" t="s">
        <v>125</v>
      </c>
      <c r="B18" s="5" t="s">
        <v>126</v>
      </c>
      <c r="C18" s="5" t="s">
        <v>127</v>
      </c>
      <c r="D18" s="5" t="s">
        <v>128</v>
      </c>
      <c r="E18" s="5">
        <v>7.95</v>
      </c>
      <c r="F18" s="5"/>
      <c r="G18" s="5"/>
      <c r="H18" s="5"/>
      <c r="I18" s="5">
        <v>7.95</v>
      </c>
      <c r="J18" s="5" t="s">
        <v>129</v>
      </c>
      <c r="K18" s="5"/>
      <c r="L18" s="5">
        <v>52</v>
      </c>
      <c r="M18" s="7">
        <f t="shared" si="0"/>
        <v>7.95</v>
      </c>
      <c r="N18" s="7" t="str">
        <f t="shared" si="1"/>
        <v>✓ 通過</v>
      </c>
      <c r="O18" s="7" t="s">
        <v>99</v>
      </c>
      <c r="P18" s="6"/>
      <c r="Q18" s="6"/>
    </row>
    <row r="19" spans="1:17" ht="27.6">
      <c r="A19" s="5" t="s">
        <v>130</v>
      </c>
      <c r="B19" s="5" t="s">
        <v>126</v>
      </c>
      <c r="C19" s="5" t="s">
        <v>131</v>
      </c>
      <c r="D19" s="5" t="s">
        <v>128</v>
      </c>
      <c r="E19" s="5">
        <v>85.29</v>
      </c>
      <c r="F19" s="5"/>
      <c r="G19" s="5"/>
      <c r="H19" s="5"/>
      <c r="I19" s="5">
        <v>85.29</v>
      </c>
      <c r="J19" s="5" t="s">
        <v>129</v>
      </c>
      <c r="K19" s="5"/>
      <c r="L19" s="5">
        <v>52</v>
      </c>
      <c r="M19" s="7">
        <f t="shared" si="0"/>
        <v>85.29</v>
      </c>
      <c r="N19" s="7" t="str">
        <f t="shared" si="1"/>
        <v>✓ 通過</v>
      </c>
      <c r="O19" s="7" t="s">
        <v>99</v>
      </c>
      <c r="P19" s="6"/>
      <c r="Q19" s="6"/>
    </row>
    <row r="20" spans="1:17" ht="27.6">
      <c r="A20" s="5" t="s">
        <v>132</v>
      </c>
      <c r="B20" s="5" t="s">
        <v>126</v>
      </c>
      <c r="C20" s="5" t="s">
        <v>133</v>
      </c>
      <c r="D20" s="5" t="s">
        <v>128</v>
      </c>
      <c r="E20" s="5">
        <v>3.05</v>
      </c>
      <c r="F20" s="5">
        <v>11.24</v>
      </c>
      <c r="G20" s="5"/>
      <c r="H20" s="5"/>
      <c r="I20" s="5">
        <v>14.29</v>
      </c>
      <c r="J20" s="5"/>
      <c r="K20" s="5"/>
      <c r="L20" s="5">
        <v>52</v>
      </c>
      <c r="M20" s="7">
        <f t="shared" si="0"/>
        <v>14.29</v>
      </c>
      <c r="N20" s="7" t="str">
        <f t="shared" si="1"/>
        <v>✓ 通過</v>
      </c>
      <c r="O20" s="7" t="s">
        <v>99</v>
      </c>
      <c r="P20" s="6"/>
      <c r="Q20" s="6"/>
    </row>
    <row r="21" spans="1:17" ht="27.6">
      <c r="A21" s="5" t="s">
        <v>134</v>
      </c>
      <c r="B21" s="5" t="s">
        <v>126</v>
      </c>
      <c r="C21" s="5" t="s">
        <v>135</v>
      </c>
      <c r="D21" s="5" t="s">
        <v>128</v>
      </c>
      <c r="E21" s="5">
        <v>3.83</v>
      </c>
      <c r="F21" s="5">
        <v>22.24</v>
      </c>
      <c r="G21" s="5"/>
      <c r="H21" s="5"/>
      <c r="I21" s="5">
        <v>26.07</v>
      </c>
      <c r="J21" s="5"/>
      <c r="K21" s="5"/>
      <c r="L21" s="5">
        <v>52</v>
      </c>
      <c r="M21" s="7">
        <f t="shared" si="0"/>
        <v>26.07</v>
      </c>
      <c r="N21" s="7" t="str">
        <f t="shared" si="1"/>
        <v>✓ 通過</v>
      </c>
      <c r="O21" s="7" t="s">
        <v>99</v>
      </c>
      <c r="P21" s="6"/>
      <c r="Q21" s="6"/>
    </row>
    <row r="22" spans="1:17" ht="27.6">
      <c r="A22" s="5" t="s">
        <v>136</v>
      </c>
      <c r="B22" s="5" t="s">
        <v>126</v>
      </c>
      <c r="C22" s="5" t="s">
        <v>137</v>
      </c>
      <c r="D22" s="5" t="s">
        <v>124</v>
      </c>
      <c r="E22" s="5">
        <v>8.2000000000000003E-2</v>
      </c>
      <c r="F22" s="5">
        <v>0.47</v>
      </c>
      <c r="G22" s="5">
        <v>1.74</v>
      </c>
      <c r="H22" s="5">
        <v>1.02</v>
      </c>
      <c r="I22" s="5">
        <v>3.31</v>
      </c>
      <c r="J22" s="5"/>
      <c r="K22" s="5"/>
      <c r="L22" s="5">
        <v>52</v>
      </c>
      <c r="M22" s="7">
        <f t="shared" si="0"/>
        <v>3.3119999999999998</v>
      </c>
      <c r="N22" s="7" t="str">
        <f t="shared" si="1"/>
        <v>✓ 通過</v>
      </c>
      <c r="O22" s="7" t="s">
        <v>99</v>
      </c>
      <c r="P22" s="6"/>
      <c r="Q22" s="6"/>
    </row>
    <row r="23" spans="1:17" ht="27.6">
      <c r="A23" s="5" t="s">
        <v>138</v>
      </c>
      <c r="B23" s="5" t="s">
        <v>126</v>
      </c>
      <c r="C23" s="5" t="s">
        <v>139</v>
      </c>
      <c r="D23" s="5" t="s">
        <v>97</v>
      </c>
      <c r="E23" s="5">
        <v>4.5</v>
      </c>
      <c r="F23" s="5"/>
      <c r="G23" s="5"/>
      <c r="H23" s="5"/>
      <c r="I23" s="5">
        <v>4.5</v>
      </c>
      <c r="J23" s="5" t="s">
        <v>129</v>
      </c>
      <c r="K23" s="5"/>
      <c r="L23" s="5">
        <v>52</v>
      </c>
      <c r="M23" s="7">
        <f t="shared" si="0"/>
        <v>4.5</v>
      </c>
      <c r="N23" s="7" t="str">
        <f t="shared" si="1"/>
        <v>✓ 通過</v>
      </c>
      <c r="O23" s="7" t="s">
        <v>99</v>
      </c>
      <c r="P23" s="6"/>
      <c r="Q23" s="6"/>
    </row>
    <row r="24" spans="1:17" ht="27.6">
      <c r="A24" s="5" t="s">
        <v>140</v>
      </c>
      <c r="B24" s="5" t="s">
        <v>126</v>
      </c>
      <c r="C24" s="5" t="s">
        <v>141</v>
      </c>
      <c r="D24" s="5" t="s">
        <v>124</v>
      </c>
      <c r="E24" s="5">
        <v>20.83</v>
      </c>
      <c r="F24" s="5"/>
      <c r="G24" s="5"/>
      <c r="H24" s="5"/>
      <c r="I24" s="5">
        <v>20.83</v>
      </c>
      <c r="J24" s="5" t="s">
        <v>129</v>
      </c>
      <c r="K24" s="5"/>
      <c r="L24" s="5">
        <v>52</v>
      </c>
      <c r="M24" s="7">
        <f t="shared" si="0"/>
        <v>20.83</v>
      </c>
      <c r="N24" s="7" t="str">
        <f t="shared" si="1"/>
        <v>✓ 通過</v>
      </c>
      <c r="O24" s="7" t="s">
        <v>99</v>
      </c>
      <c r="P24" s="6"/>
      <c r="Q24" s="6"/>
    </row>
    <row r="25" spans="1:17" ht="27.6">
      <c r="A25" s="5" t="s">
        <v>142</v>
      </c>
      <c r="B25" s="5" t="s">
        <v>126</v>
      </c>
      <c r="C25" s="5" t="s">
        <v>143</v>
      </c>
      <c r="D25" s="5" t="s">
        <v>124</v>
      </c>
      <c r="E25" s="5">
        <v>1.4999999999999999E-2</v>
      </c>
      <c r="F25" s="5">
        <v>0.19</v>
      </c>
      <c r="G25" s="5">
        <v>0.82799999999999996</v>
      </c>
      <c r="H25" s="5">
        <v>0.36399999999999999</v>
      </c>
      <c r="I25" s="5">
        <v>1.4</v>
      </c>
      <c r="J25" s="5"/>
      <c r="K25" s="5"/>
      <c r="L25" s="5">
        <v>52</v>
      </c>
      <c r="M25" s="7">
        <f t="shared" si="0"/>
        <v>1.3969999999999998</v>
      </c>
      <c r="N25" s="7" t="str">
        <f t="shared" si="1"/>
        <v>✓ 通過</v>
      </c>
      <c r="O25" s="7" t="s">
        <v>99</v>
      </c>
      <c r="P25" s="6"/>
      <c r="Q25" s="6"/>
    </row>
    <row r="26" spans="1:17" ht="27.6">
      <c r="A26" s="5" t="s">
        <v>144</v>
      </c>
      <c r="B26" s="5" t="s">
        <v>126</v>
      </c>
      <c r="C26" s="5" t="s">
        <v>145</v>
      </c>
      <c r="D26" s="5" t="s">
        <v>97</v>
      </c>
      <c r="E26" s="5">
        <v>0.47</v>
      </c>
      <c r="F26" s="5"/>
      <c r="G26" s="5"/>
      <c r="H26" s="5"/>
      <c r="I26" s="5">
        <v>0.47</v>
      </c>
      <c r="J26" s="5" t="s">
        <v>129</v>
      </c>
      <c r="K26" s="5"/>
      <c r="L26" s="5">
        <v>52</v>
      </c>
      <c r="M26" s="7">
        <f t="shared" si="0"/>
        <v>0.47</v>
      </c>
      <c r="N26" s="7" t="str">
        <f t="shared" si="1"/>
        <v>✓ 通過</v>
      </c>
      <c r="O26" s="7" t="s">
        <v>99</v>
      </c>
      <c r="P26" s="6"/>
      <c r="Q26" s="6"/>
    </row>
    <row r="27" spans="1:17" ht="27.6">
      <c r="A27" s="5" t="s">
        <v>146</v>
      </c>
      <c r="B27" s="5" t="s">
        <v>126</v>
      </c>
      <c r="C27" s="5" t="s">
        <v>147</v>
      </c>
      <c r="D27" s="5" t="s">
        <v>124</v>
      </c>
      <c r="E27" s="5">
        <v>1.45</v>
      </c>
      <c r="F27" s="5"/>
      <c r="G27" s="5"/>
      <c r="H27" s="5">
        <v>1.14E-3</v>
      </c>
      <c r="I27" s="5">
        <v>1.45</v>
      </c>
      <c r="J27" s="5" t="s">
        <v>98</v>
      </c>
      <c r="K27" s="5"/>
      <c r="L27" s="5">
        <v>52</v>
      </c>
      <c r="M27" s="7">
        <f t="shared" si="0"/>
        <v>1.4511399999999999</v>
      </c>
      <c r="N27" s="7" t="str">
        <f t="shared" si="1"/>
        <v>✓ 通過</v>
      </c>
      <c r="O27" s="7" t="s">
        <v>99</v>
      </c>
      <c r="P27" s="6"/>
      <c r="Q27" s="6"/>
    </row>
    <row r="28" spans="1:17" ht="27.6">
      <c r="A28" s="5" t="s">
        <v>148</v>
      </c>
      <c r="B28" s="5" t="s">
        <v>126</v>
      </c>
      <c r="C28" s="5" t="s">
        <v>149</v>
      </c>
      <c r="D28" s="5" t="s">
        <v>124</v>
      </c>
      <c r="E28" s="5">
        <v>7.7</v>
      </c>
      <c r="F28" s="5"/>
      <c r="G28" s="5">
        <v>7.16</v>
      </c>
      <c r="H28" s="5">
        <v>0.22800000000000001</v>
      </c>
      <c r="I28" s="5">
        <v>15.09</v>
      </c>
      <c r="J28" s="5" t="s">
        <v>104</v>
      </c>
      <c r="K28" s="5"/>
      <c r="L28" s="5">
        <v>52</v>
      </c>
      <c r="M28" s="7">
        <f t="shared" si="0"/>
        <v>15.087999999999999</v>
      </c>
      <c r="N28" s="7" t="str">
        <f t="shared" si="1"/>
        <v>✓ 通過</v>
      </c>
      <c r="O28" s="7" t="s">
        <v>99</v>
      </c>
      <c r="P28" s="6"/>
      <c r="Q28" s="6"/>
    </row>
    <row r="29" spans="1:17" ht="27.6">
      <c r="A29" s="5" t="s">
        <v>150</v>
      </c>
      <c r="B29" s="5" t="s">
        <v>126</v>
      </c>
      <c r="C29" s="5" t="s">
        <v>151</v>
      </c>
      <c r="D29" s="5" t="s">
        <v>97</v>
      </c>
      <c r="E29" s="5">
        <v>0.05</v>
      </c>
      <c r="F29" s="5">
        <v>6.0000000000000001E-3</v>
      </c>
      <c r="G29" s="5">
        <v>0.8</v>
      </c>
      <c r="H29" s="5">
        <v>1.2E-2</v>
      </c>
      <c r="I29" s="5">
        <v>0.87</v>
      </c>
      <c r="J29" s="5"/>
      <c r="K29" s="5"/>
      <c r="L29" s="5">
        <v>52</v>
      </c>
      <c r="M29" s="7">
        <f t="shared" si="0"/>
        <v>0.8680000000000001</v>
      </c>
      <c r="N29" s="7" t="str">
        <f t="shared" si="1"/>
        <v>✓ 通過</v>
      </c>
      <c r="O29" s="7" t="s">
        <v>99</v>
      </c>
      <c r="P29" s="6"/>
      <c r="Q29" s="6"/>
    </row>
    <row r="30" spans="1:17" ht="27.6">
      <c r="A30" s="5" t="s">
        <v>152</v>
      </c>
      <c r="B30" s="5" t="s">
        <v>126</v>
      </c>
      <c r="C30" s="5" t="s">
        <v>153</v>
      </c>
      <c r="D30" s="5" t="s">
        <v>154</v>
      </c>
      <c r="E30" s="5">
        <v>0.01</v>
      </c>
      <c r="F30" s="5">
        <v>0</v>
      </c>
      <c r="G30" s="5">
        <v>0.41</v>
      </c>
      <c r="H30" s="5">
        <v>3.2000000000000001E-2</v>
      </c>
      <c r="I30" s="5">
        <v>0.45</v>
      </c>
      <c r="J30" s="5"/>
      <c r="K30" s="5"/>
      <c r="L30" s="5">
        <v>52</v>
      </c>
      <c r="M30" s="7">
        <f t="shared" si="0"/>
        <v>0.45199999999999996</v>
      </c>
      <c r="N30" s="7" t="str">
        <f t="shared" si="1"/>
        <v>✓ 通過</v>
      </c>
      <c r="O30" s="7" t="s">
        <v>99</v>
      </c>
      <c r="P30" s="6"/>
      <c r="Q30" s="6"/>
    </row>
    <row r="31" spans="1:17" ht="27.6">
      <c r="A31" s="5" t="s">
        <v>155</v>
      </c>
      <c r="B31" s="5" t="s">
        <v>126</v>
      </c>
      <c r="C31" s="5" t="s">
        <v>156</v>
      </c>
      <c r="D31" s="5" t="s">
        <v>154</v>
      </c>
      <c r="E31" s="5">
        <v>0.19500000000000001</v>
      </c>
      <c r="F31" s="5"/>
      <c r="G31" s="5"/>
      <c r="H31" s="5"/>
      <c r="I31" s="5">
        <v>0.2</v>
      </c>
      <c r="J31" s="5" t="s">
        <v>129</v>
      </c>
      <c r="K31" s="5"/>
      <c r="L31" s="5">
        <v>52</v>
      </c>
      <c r="M31" s="7">
        <f t="shared" si="0"/>
        <v>0.19500000000000001</v>
      </c>
      <c r="N31" s="7" t="str">
        <f t="shared" si="1"/>
        <v>✓ 通過</v>
      </c>
      <c r="O31" s="7" t="s">
        <v>99</v>
      </c>
      <c r="P31" s="6"/>
      <c r="Q31" s="6"/>
    </row>
    <row r="32" spans="1:17" ht="27.6">
      <c r="A32" s="5" t="s">
        <v>157</v>
      </c>
      <c r="B32" s="5" t="s">
        <v>126</v>
      </c>
      <c r="C32" s="5" t="s">
        <v>158</v>
      </c>
      <c r="D32" s="5" t="s">
        <v>124</v>
      </c>
      <c r="E32" s="5">
        <v>6.0359999999999996</v>
      </c>
      <c r="F32" s="5"/>
      <c r="G32" s="5"/>
      <c r="H32" s="5"/>
      <c r="I32" s="5">
        <v>6.04</v>
      </c>
      <c r="J32" s="5" t="s">
        <v>129</v>
      </c>
      <c r="K32" s="5"/>
      <c r="L32" s="5">
        <v>52</v>
      </c>
      <c r="M32" s="7">
        <f t="shared" si="0"/>
        <v>6.0359999999999996</v>
      </c>
      <c r="N32" s="7" t="str">
        <f t="shared" si="1"/>
        <v>✓ 通過</v>
      </c>
      <c r="O32" s="7" t="s">
        <v>99</v>
      </c>
      <c r="P32" s="6"/>
      <c r="Q32" s="6"/>
    </row>
    <row r="33" spans="1:17" ht="27.6">
      <c r="A33" s="5" t="s">
        <v>159</v>
      </c>
      <c r="B33" s="5" t="s">
        <v>126</v>
      </c>
      <c r="C33" s="5" t="s">
        <v>160</v>
      </c>
      <c r="D33" s="5" t="s">
        <v>124</v>
      </c>
      <c r="E33" s="5">
        <v>12.071999999999999</v>
      </c>
      <c r="F33" s="5"/>
      <c r="G33" s="5"/>
      <c r="H33" s="5"/>
      <c r="I33" s="5">
        <v>12.07</v>
      </c>
      <c r="J33" s="5" t="s">
        <v>129</v>
      </c>
      <c r="K33" s="5"/>
      <c r="L33" s="5">
        <v>52</v>
      </c>
      <c r="M33" s="7">
        <f t="shared" si="0"/>
        <v>12.071999999999999</v>
      </c>
      <c r="N33" s="7" t="str">
        <f t="shared" si="1"/>
        <v>✓ 通過</v>
      </c>
      <c r="O33" s="7" t="s">
        <v>99</v>
      </c>
      <c r="P33" s="6"/>
      <c r="Q33" s="6"/>
    </row>
    <row r="34" spans="1:17" ht="27.6">
      <c r="A34" s="5" t="s">
        <v>161</v>
      </c>
      <c r="B34" s="5" t="s">
        <v>126</v>
      </c>
      <c r="C34" s="5" t="s">
        <v>162</v>
      </c>
      <c r="D34" s="5" t="s">
        <v>124</v>
      </c>
      <c r="E34" s="5">
        <v>24.9</v>
      </c>
      <c r="F34" s="5"/>
      <c r="G34" s="5"/>
      <c r="H34" s="5"/>
      <c r="I34" s="5">
        <v>24.9</v>
      </c>
      <c r="J34" s="5" t="s">
        <v>129</v>
      </c>
      <c r="K34" s="5"/>
      <c r="L34" s="5">
        <v>52</v>
      </c>
      <c r="M34" s="7">
        <f t="shared" si="0"/>
        <v>24.9</v>
      </c>
      <c r="N34" s="7" t="str">
        <f t="shared" si="1"/>
        <v>✓ 通過</v>
      </c>
      <c r="O34" s="7" t="s">
        <v>99</v>
      </c>
      <c r="P34" s="6"/>
      <c r="Q34" s="6"/>
    </row>
    <row r="35" spans="1:17" ht="27.6">
      <c r="A35" s="5" t="s">
        <v>163</v>
      </c>
      <c r="B35" s="5" t="s">
        <v>126</v>
      </c>
      <c r="C35" s="5" t="s">
        <v>164</v>
      </c>
      <c r="D35" s="5" t="s">
        <v>97</v>
      </c>
      <c r="E35" s="5">
        <v>1.02</v>
      </c>
      <c r="F35" s="5"/>
      <c r="G35" s="5"/>
      <c r="H35" s="5">
        <v>4.1999999999999997E-3</v>
      </c>
      <c r="I35" s="5">
        <v>1.02</v>
      </c>
      <c r="J35" s="5" t="s">
        <v>98</v>
      </c>
      <c r="K35" s="5"/>
      <c r="L35" s="5">
        <v>52</v>
      </c>
      <c r="M35" s="7">
        <f t="shared" si="0"/>
        <v>1.0242</v>
      </c>
      <c r="N35" s="7" t="str">
        <f t="shared" si="1"/>
        <v>✓ 通過</v>
      </c>
      <c r="O35" s="7" t="s">
        <v>99</v>
      </c>
      <c r="P35" s="6"/>
      <c r="Q35" s="6"/>
    </row>
    <row r="36" spans="1:17" ht="27.6">
      <c r="A36" s="5" t="s">
        <v>165</v>
      </c>
      <c r="B36" s="5" t="s">
        <v>126</v>
      </c>
      <c r="C36" s="5" t="s">
        <v>166</v>
      </c>
      <c r="D36" s="5" t="s">
        <v>124</v>
      </c>
      <c r="E36" s="5">
        <v>0.114</v>
      </c>
      <c r="F36" s="5">
        <v>0</v>
      </c>
      <c r="G36" s="5">
        <v>6.46</v>
      </c>
      <c r="H36" s="5">
        <v>0.51</v>
      </c>
      <c r="I36" s="5">
        <v>7.08</v>
      </c>
      <c r="J36" s="5"/>
      <c r="K36" s="5"/>
      <c r="L36" s="5">
        <v>52</v>
      </c>
      <c r="M36" s="7">
        <f t="shared" si="0"/>
        <v>7.0839999999999996</v>
      </c>
      <c r="N36" s="7" t="str">
        <f t="shared" si="1"/>
        <v>✓ 通過</v>
      </c>
      <c r="O36" s="7" t="s">
        <v>99</v>
      </c>
      <c r="P36" s="6"/>
      <c r="Q36" s="6"/>
    </row>
    <row r="37" spans="1:17" ht="27.6">
      <c r="A37" s="5" t="s">
        <v>167</v>
      </c>
      <c r="B37" s="5" t="s">
        <v>168</v>
      </c>
      <c r="C37" s="5" t="s">
        <v>169</v>
      </c>
      <c r="D37" s="5" t="s">
        <v>97</v>
      </c>
      <c r="E37" s="5">
        <v>0.94</v>
      </c>
      <c r="F37" s="5"/>
      <c r="G37" s="5"/>
      <c r="H37" s="5">
        <v>4.4000000000000003E-3</v>
      </c>
      <c r="I37" s="5">
        <v>0.94399999999999995</v>
      </c>
      <c r="J37" s="5" t="s">
        <v>98</v>
      </c>
      <c r="K37" s="5"/>
      <c r="L37" s="5">
        <v>52</v>
      </c>
      <c r="M37" s="7">
        <f t="shared" ref="M37:M68" si="2">IF(COUNT(E37:H37)=0,"",SUM(E37:H37))</f>
        <v>0.94439999999999991</v>
      </c>
      <c r="N37" s="7" t="str">
        <f t="shared" ref="N37:N68" si="3">IF(COUNT(E37:H37)=0,"只有總量（無法驗算）",IF(ABS(SUM(E37:H37)-I37)&lt;=0.015,"✓ 通過","⚠ 加總≠總量"))</f>
        <v>✓ 通過</v>
      </c>
      <c r="O37" s="7" t="s">
        <v>99</v>
      </c>
      <c r="P37" s="6"/>
      <c r="Q37" s="6"/>
    </row>
    <row r="38" spans="1:17" ht="27.6">
      <c r="A38" s="5" t="s">
        <v>170</v>
      </c>
      <c r="B38" s="5" t="s">
        <v>168</v>
      </c>
      <c r="C38" s="5" t="s">
        <v>171</v>
      </c>
      <c r="D38" s="5" t="s">
        <v>172</v>
      </c>
      <c r="E38" s="5">
        <v>2.4700000000000002</v>
      </c>
      <c r="F38" s="5">
        <v>4.17</v>
      </c>
      <c r="G38" s="5">
        <v>941.81</v>
      </c>
      <c r="H38" s="5">
        <v>19.95</v>
      </c>
      <c r="I38" s="5">
        <v>968.4</v>
      </c>
      <c r="J38" s="5"/>
      <c r="K38" s="5"/>
      <c r="L38" s="5">
        <v>52</v>
      </c>
      <c r="M38" s="7">
        <f t="shared" si="2"/>
        <v>968.4</v>
      </c>
      <c r="N38" s="7" t="str">
        <f t="shared" si="3"/>
        <v>✓ 通過</v>
      </c>
      <c r="O38" s="7" t="s">
        <v>99</v>
      </c>
      <c r="P38" s="6"/>
      <c r="Q38" s="6"/>
    </row>
    <row r="39" spans="1:17" ht="27.6">
      <c r="A39" s="5" t="s">
        <v>173</v>
      </c>
      <c r="B39" s="5" t="s">
        <v>168</v>
      </c>
      <c r="C39" s="5" t="s">
        <v>174</v>
      </c>
      <c r="D39" s="5" t="s">
        <v>172</v>
      </c>
      <c r="E39" s="5">
        <v>1.73</v>
      </c>
      <c r="F39" s="5">
        <v>17.920000000000002</v>
      </c>
      <c r="G39" s="5">
        <v>617.55999999999995</v>
      </c>
      <c r="H39" s="5">
        <v>19.95</v>
      </c>
      <c r="I39" s="5">
        <v>657.16</v>
      </c>
      <c r="J39" s="5"/>
      <c r="K39" s="5"/>
      <c r="L39" s="5">
        <v>53</v>
      </c>
      <c r="M39" s="7">
        <f t="shared" si="2"/>
        <v>657.16</v>
      </c>
      <c r="N39" s="7" t="str">
        <f t="shared" si="3"/>
        <v>✓ 通過</v>
      </c>
      <c r="O39" s="7" t="s">
        <v>99</v>
      </c>
      <c r="P39" s="6"/>
      <c r="Q39" s="6"/>
    </row>
    <row r="40" spans="1:17" ht="27.6">
      <c r="A40" s="5" t="s">
        <v>175</v>
      </c>
      <c r="B40" s="5" t="s">
        <v>168</v>
      </c>
      <c r="C40" s="5" t="s">
        <v>176</v>
      </c>
      <c r="D40" s="5" t="s">
        <v>172</v>
      </c>
      <c r="E40" s="5">
        <v>1.36</v>
      </c>
      <c r="F40" s="5">
        <v>14.2</v>
      </c>
      <c r="G40" s="5">
        <v>498.84</v>
      </c>
      <c r="H40" s="5">
        <v>19.95</v>
      </c>
      <c r="I40" s="5">
        <v>534.35</v>
      </c>
      <c r="J40" s="5"/>
      <c r="K40" s="5"/>
      <c r="L40" s="5">
        <v>53</v>
      </c>
      <c r="M40" s="7">
        <f t="shared" si="2"/>
        <v>534.35</v>
      </c>
      <c r="N40" s="7" t="str">
        <f t="shared" si="3"/>
        <v>✓ 通過</v>
      </c>
      <c r="O40" s="7" t="s">
        <v>99</v>
      </c>
      <c r="P40" s="6"/>
      <c r="Q40" s="6"/>
    </row>
    <row r="41" spans="1:17" ht="27.6">
      <c r="A41" s="5" t="s">
        <v>177</v>
      </c>
      <c r="B41" s="5" t="s">
        <v>168</v>
      </c>
      <c r="C41" s="5" t="s">
        <v>178</v>
      </c>
      <c r="D41" s="5" t="s">
        <v>124</v>
      </c>
      <c r="E41" s="5">
        <v>0.1</v>
      </c>
      <c r="F41" s="5">
        <v>0.27</v>
      </c>
      <c r="G41" s="5">
        <v>19.02</v>
      </c>
      <c r="H41" s="5">
        <v>0.1</v>
      </c>
      <c r="I41" s="5">
        <v>19.489999999999998</v>
      </c>
      <c r="J41" s="5"/>
      <c r="K41" s="5"/>
      <c r="L41" s="5">
        <v>53</v>
      </c>
      <c r="M41" s="7">
        <f t="shared" si="2"/>
        <v>19.490000000000002</v>
      </c>
      <c r="N41" s="7" t="str">
        <f t="shared" si="3"/>
        <v>✓ 通過</v>
      </c>
      <c r="O41" s="7" t="s">
        <v>99</v>
      </c>
      <c r="P41" s="6"/>
      <c r="Q41" s="6"/>
    </row>
    <row r="42" spans="1:17" ht="27.6">
      <c r="A42" s="5" t="s">
        <v>179</v>
      </c>
      <c r="B42" s="5" t="s">
        <v>168</v>
      </c>
      <c r="C42" s="5" t="s">
        <v>180</v>
      </c>
      <c r="D42" s="5" t="s">
        <v>124</v>
      </c>
      <c r="E42" s="5">
        <v>9.5000000000000001E-2</v>
      </c>
      <c r="F42" s="5">
        <v>0.28999999999999998</v>
      </c>
      <c r="G42" s="5">
        <v>12.37</v>
      </c>
      <c r="H42" s="5">
        <v>0.1</v>
      </c>
      <c r="I42" s="5">
        <v>12.86</v>
      </c>
      <c r="J42" s="5"/>
      <c r="K42" s="5"/>
      <c r="L42" s="5">
        <v>53</v>
      </c>
      <c r="M42" s="7">
        <f t="shared" si="2"/>
        <v>12.854999999999999</v>
      </c>
      <c r="N42" s="7" t="str">
        <f t="shared" si="3"/>
        <v>✓ 通過</v>
      </c>
      <c r="O42" s="7" t="s">
        <v>99</v>
      </c>
      <c r="P42" s="6"/>
      <c r="Q42" s="6"/>
    </row>
    <row r="43" spans="1:17" ht="27.6">
      <c r="A43" s="5" t="s">
        <v>181</v>
      </c>
      <c r="B43" s="5" t="s">
        <v>168</v>
      </c>
      <c r="C43" s="5" t="s">
        <v>182</v>
      </c>
      <c r="D43" s="5" t="s">
        <v>124</v>
      </c>
      <c r="E43" s="5">
        <v>8.8999999999999996E-2</v>
      </c>
      <c r="F43" s="5">
        <v>0.28999999999999998</v>
      </c>
      <c r="G43" s="5">
        <v>8.57</v>
      </c>
      <c r="H43" s="5">
        <v>0.1</v>
      </c>
      <c r="I43" s="5">
        <v>9.0500000000000007</v>
      </c>
      <c r="J43" s="5"/>
      <c r="K43" s="5"/>
      <c r="L43" s="5">
        <v>53</v>
      </c>
      <c r="M43" s="7">
        <f t="shared" si="2"/>
        <v>9.0489999999999995</v>
      </c>
      <c r="N43" s="7" t="str">
        <f t="shared" si="3"/>
        <v>✓ 通過</v>
      </c>
      <c r="O43" s="7" t="s">
        <v>99</v>
      </c>
      <c r="P43" s="6"/>
      <c r="Q43" s="6"/>
    </row>
    <row r="44" spans="1:17" ht="27.6">
      <c r="A44" s="5" t="s">
        <v>183</v>
      </c>
      <c r="B44" s="5" t="s">
        <v>168</v>
      </c>
      <c r="C44" s="5" t="s">
        <v>184</v>
      </c>
      <c r="D44" s="5" t="s">
        <v>128</v>
      </c>
      <c r="E44" s="5">
        <v>5.13</v>
      </c>
      <c r="F44" s="5">
        <v>19.239999999999998</v>
      </c>
      <c r="G44" s="5">
        <v>214.84</v>
      </c>
      <c r="H44" s="5">
        <v>4.57</v>
      </c>
      <c r="I44" s="5">
        <v>243.78</v>
      </c>
      <c r="J44" s="5"/>
      <c r="K44" s="5"/>
      <c r="L44" s="5">
        <v>53</v>
      </c>
      <c r="M44" s="7">
        <f t="shared" si="2"/>
        <v>243.78</v>
      </c>
      <c r="N44" s="7" t="str">
        <f t="shared" si="3"/>
        <v>✓ 通過</v>
      </c>
      <c r="O44" s="7" t="s">
        <v>99</v>
      </c>
      <c r="P44" s="6"/>
      <c r="Q44" s="6"/>
    </row>
    <row r="45" spans="1:17" ht="27.6">
      <c r="A45" s="5" t="s">
        <v>185</v>
      </c>
      <c r="B45" s="5" t="s">
        <v>168</v>
      </c>
      <c r="C45" s="5" t="s">
        <v>186</v>
      </c>
      <c r="D45" s="5" t="s">
        <v>128</v>
      </c>
      <c r="E45" s="5">
        <v>285.77</v>
      </c>
      <c r="F45" s="5"/>
      <c r="G45" s="5"/>
      <c r="H45" s="5"/>
      <c r="I45" s="5">
        <v>285.77</v>
      </c>
      <c r="J45" s="5" t="s">
        <v>129</v>
      </c>
      <c r="K45" s="5"/>
      <c r="L45" s="5">
        <v>53</v>
      </c>
      <c r="M45" s="7">
        <f t="shared" si="2"/>
        <v>285.77</v>
      </c>
      <c r="N45" s="7" t="str">
        <f t="shared" si="3"/>
        <v>✓ 通過</v>
      </c>
      <c r="O45" s="7" t="s">
        <v>99</v>
      </c>
      <c r="P45" s="6"/>
      <c r="Q45" s="6"/>
    </row>
    <row r="46" spans="1:17" ht="27.6">
      <c r="A46" s="5" t="s">
        <v>187</v>
      </c>
      <c r="B46" s="5" t="s">
        <v>168</v>
      </c>
      <c r="C46" s="5" t="s">
        <v>188</v>
      </c>
      <c r="D46" s="5" t="s">
        <v>128</v>
      </c>
      <c r="E46" s="5">
        <v>4.8899999999999997</v>
      </c>
      <c r="F46" s="5">
        <v>17.95</v>
      </c>
      <c r="G46" s="5">
        <v>300.33999999999997</v>
      </c>
      <c r="H46" s="5">
        <v>4.57</v>
      </c>
      <c r="I46" s="5">
        <v>327.75</v>
      </c>
      <c r="J46" s="5"/>
      <c r="K46" s="5"/>
      <c r="L46" s="5">
        <v>53</v>
      </c>
      <c r="M46" s="7">
        <f t="shared" si="2"/>
        <v>327.74999999999994</v>
      </c>
      <c r="N46" s="7" t="str">
        <f t="shared" si="3"/>
        <v>✓ 通過</v>
      </c>
      <c r="O46" s="7" t="s">
        <v>99</v>
      </c>
      <c r="P46" s="6"/>
      <c r="Q46" s="6"/>
    </row>
    <row r="47" spans="1:17" ht="27.6">
      <c r="A47" s="5" t="s">
        <v>189</v>
      </c>
      <c r="B47" s="5" t="s">
        <v>168</v>
      </c>
      <c r="C47" s="5" t="s">
        <v>190</v>
      </c>
      <c r="D47" s="5" t="s">
        <v>128</v>
      </c>
      <c r="E47" s="5">
        <v>4.8</v>
      </c>
      <c r="F47" s="5">
        <v>17.420000000000002</v>
      </c>
      <c r="G47" s="5">
        <v>343.09</v>
      </c>
      <c r="H47" s="5">
        <v>4.57</v>
      </c>
      <c r="I47" s="5">
        <v>369.88</v>
      </c>
      <c r="J47" s="5"/>
      <c r="K47" s="5"/>
      <c r="L47" s="5">
        <v>53</v>
      </c>
      <c r="M47" s="7">
        <f t="shared" si="2"/>
        <v>369.88</v>
      </c>
      <c r="N47" s="7" t="str">
        <f t="shared" si="3"/>
        <v>✓ 通過</v>
      </c>
      <c r="O47" s="7" t="s">
        <v>99</v>
      </c>
      <c r="P47" s="6"/>
      <c r="Q47" s="6"/>
    </row>
    <row r="48" spans="1:17" ht="27.6">
      <c r="A48" s="5" t="s">
        <v>191</v>
      </c>
      <c r="B48" s="5" t="s">
        <v>168</v>
      </c>
      <c r="C48" s="5" t="s">
        <v>192</v>
      </c>
      <c r="D48" s="5" t="s">
        <v>128</v>
      </c>
      <c r="E48" s="5">
        <v>4.74</v>
      </c>
      <c r="F48" s="5">
        <v>16.93</v>
      </c>
      <c r="G48" s="5">
        <v>407.21</v>
      </c>
      <c r="H48" s="5">
        <v>4.57</v>
      </c>
      <c r="I48" s="5">
        <v>433.45</v>
      </c>
      <c r="J48" s="5"/>
      <c r="K48" s="5"/>
      <c r="L48" s="5">
        <v>53</v>
      </c>
      <c r="M48" s="7">
        <f t="shared" si="2"/>
        <v>433.45</v>
      </c>
      <c r="N48" s="7" t="str">
        <f t="shared" si="3"/>
        <v>✓ 通過</v>
      </c>
      <c r="O48" s="7" t="s">
        <v>99</v>
      </c>
      <c r="P48" s="6"/>
      <c r="Q48" s="6"/>
    </row>
    <row r="49" spans="1:17" ht="27.6">
      <c r="A49" s="5" t="s">
        <v>193</v>
      </c>
      <c r="B49" s="5" t="s">
        <v>168</v>
      </c>
      <c r="C49" s="5" t="s">
        <v>194</v>
      </c>
      <c r="D49" s="5" t="s">
        <v>128</v>
      </c>
      <c r="E49" s="5">
        <v>4.71</v>
      </c>
      <c r="F49" s="5">
        <v>16.53</v>
      </c>
      <c r="G49" s="5">
        <v>471.34</v>
      </c>
      <c r="H49" s="5">
        <v>4.57</v>
      </c>
      <c r="I49" s="5">
        <v>497.15</v>
      </c>
      <c r="J49" s="5"/>
      <c r="K49" s="5"/>
      <c r="L49" s="5">
        <v>53</v>
      </c>
      <c r="M49" s="7">
        <f t="shared" si="2"/>
        <v>497.15</v>
      </c>
      <c r="N49" s="7" t="str">
        <f t="shared" si="3"/>
        <v>✓ 通過</v>
      </c>
      <c r="O49" s="7" t="s">
        <v>99</v>
      </c>
      <c r="P49" s="6"/>
      <c r="Q49" s="6"/>
    </row>
    <row r="50" spans="1:17" ht="27.6">
      <c r="A50" s="5" t="s">
        <v>195</v>
      </c>
      <c r="B50" s="5" t="s">
        <v>168</v>
      </c>
      <c r="C50" s="5" t="s">
        <v>196</v>
      </c>
      <c r="D50" s="5" t="s">
        <v>128</v>
      </c>
      <c r="E50" s="5">
        <v>181.74</v>
      </c>
      <c r="F50" s="5"/>
      <c r="G50" s="5"/>
      <c r="H50" s="5"/>
      <c r="I50" s="5">
        <v>181.74</v>
      </c>
      <c r="J50" s="5" t="s">
        <v>129</v>
      </c>
      <c r="K50" s="5"/>
      <c r="L50" s="5">
        <v>53</v>
      </c>
      <c r="M50" s="7">
        <f t="shared" si="2"/>
        <v>181.74</v>
      </c>
      <c r="N50" s="7" t="str">
        <f t="shared" si="3"/>
        <v>✓ 通過</v>
      </c>
      <c r="O50" s="7" t="s">
        <v>99</v>
      </c>
      <c r="P50" s="6"/>
      <c r="Q50" s="6"/>
    </row>
    <row r="51" spans="1:17" ht="27.6">
      <c r="A51" s="5" t="s">
        <v>197</v>
      </c>
      <c r="B51" s="5" t="s">
        <v>168</v>
      </c>
      <c r="C51" s="5" t="s">
        <v>198</v>
      </c>
      <c r="D51" s="5" t="s">
        <v>128</v>
      </c>
      <c r="E51" s="5">
        <v>194.06</v>
      </c>
      <c r="F51" s="5"/>
      <c r="G51" s="5"/>
      <c r="H51" s="5"/>
      <c r="I51" s="5">
        <v>194.06</v>
      </c>
      <c r="J51" s="5" t="s">
        <v>129</v>
      </c>
      <c r="K51" s="5"/>
      <c r="L51" s="5">
        <v>53</v>
      </c>
      <c r="M51" s="7">
        <f t="shared" si="2"/>
        <v>194.06</v>
      </c>
      <c r="N51" s="7" t="str">
        <f t="shared" si="3"/>
        <v>✓ 通過</v>
      </c>
      <c r="O51" s="7" t="s">
        <v>99</v>
      </c>
      <c r="P51" s="6"/>
      <c r="Q51" s="6"/>
    </row>
    <row r="52" spans="1:17" ht="27.6">
      <c r="A52" s="5" t="s">
        <v>199</v>
      </c>
      <c r="B52" s="5" t="s">
        <v>168</v>
      </c>
      <c r="C52" s="5" t="s">
        <v>200</v>
      </c>
      <c r="D52" s="5" t="s">
        <v>128</v>
      </c>
      <c r="E52" s="5">
        <v>4.5</v>
      </c>
      <c r="F52" s="5">
        <v>21.62</v>
      </c>
      <c r="G52" s="5">
        <v>175.68</v>
      </c>
      <c r="H52" s="5">
        <v>4.57</v>
      </c>
      <c r="I52" s="5">
        <v>206.37</v>
      </c>
      <c r="J52" s="5"/>
      <c r="K52" s="5"/>
      <c r="L52" s="5">
        <v>53</v>
      </c>
      <c r="M52" s="7">
        <f t="shared" si="2"/>
        <v>206.37</v>
      </c>
      <c r="N52" s="7" t="str">
        <f t="shared" si="3"/>
        <v>✓ 通過</v>
      </c>
      <c r="O52" s="7" t="s">
        <v>99</v>
      </c>
      <c r="P52" s="6"/>
      <c r="Q52" s="6"/>
    </row>
    <row r="53" spans="1:17" ht="27.6">
      <c r="A53" s="5" t="s">
        <v>201</v>
      </c>
      <c r="B53" s="5" t="s">
        <v>168</v>
      </c>
      <c r="C53" s="5" t="s">
        <v>202</v>
      </c>
      <c r="D53" s="5" t="s">
        <v>128</v>
      </c>
      <c r="E53" s="5">
        <v>4.3499999999999996</v>
      </c>
      <c r="F53" s="5">
        <v>21.46</v>
      </c>
      <c r="G53" s="5">
        <v>200.62</v>
      </c>
      <c r="H53" s="5">
        <v>4.57</v>
      </c>
      <c r="I53" s="5">
        <v>231</v>
      </c>
      <c r="J53" s="5"/>
      <c r="K53" s="5"/>
      <c r="L53" s="5">
        <v>53</v>
      </c>
      <c r="M53" s="7">
        <f t="shared" si="2"/>
        <v>231</v>
      </c>
      <c r="N53" s="7" t="str">
        <f t="shared" si="3"/>
        <v>✓ 通過</v>
      </c>
      <c r="O53" s="7" t="s">
        <v>99</v>
      </c>
      <c r="P53" s="6"/>
      <c r="Q53" s="6"/>
    </row>
    <row r="54" spans="1:17" ht="27.6">
      <c r="A54" s="5" t="s">
        <v>203</v>
      </c>
      <c r="B54" s="5" t="s">
        <v>168</v>
      </c>
      <c r="C54" s="5" t="s">
        <v>204</v>
      </c>
      <c r="D54" s="5" t="s">
        <v>128</v>
      </c>
      <c r="E54" s="5">
        <v>4.3</v>
      </c>
      <c r="F54" s="5">
        <v>22.08</v>
      </c>
      <c r="G54" s="5">
        <v>238.03</v>
      </c>
      <c r="H54" s="5">
        <v>4.57</v>
      </c>
      <c r="I54" s="5">
        <v>268.98</v>
      </c>
      <c r="J54" s="5"/>
      <c r="K54" s="5"/>
      <c r="L54" s="5">
        <v>53</v>
      </c>
      <c r="M54" s="7">
        <f t="shared" si="2"/>
        <v>268.98</v>
      </c>
      <c r="N54" s="7" t="str">
        <f t="shared" si="3"/>
        <v>✓ 通過</v>
      </c>
      <c r="O54" s="7" t="s">
        <v>99</v>
      </c>
      <c r="P54" s="6"/>
      <c r="Q54" s="6"/>
    </row>
    <row r="55" spans="1:17" ht="27.6">
      <c r="A55" s="5" t="s">
        <v>205</v>
      </c>
      <c r="B55" s="5" t="s">
        <v>168</v>
      </c>
      <c r="C55" s="5" t="s">
        <v>206</v>
      </c>
      <c r="D55" s="5" t="s">
        <v>128</v>
      </c>
      <c r="E55" s="5">
        <v>4.0999999999999996</v>
      </c>
      <c r="F55" s="5">
        <v>22.11</v>
      </c>
      <c r="G55" s="5">
        <v>275.45</v>
      </c>
      <c r="H55" s="5">
        <v>4.57</v>
      </c>
      <c r="I55" s="5">
        <v>306.23</v>
      </c>
      <c r="J55" s="5"/>
      <c r="K55" s="5"/>
      <c r="L55" s="5">
        <v>53</v>
      </c>
      <c r="M55" s="7">
        <f t="shared" si="2"/>
        <v>306.22999999999996</v>
      </c>
      <c r="N55" s="7" t="str">
        <f t="shared" si="3"/>
        <v>✓ 通過</v>
      </c>
      <c r="O55" s="7" t="s">
        <v>99</v>
      </c>
      <c r="P55" s="6"/>
      <c r="Q55" s="6"/>
    </row>
    <row r="56" spans="1:17" ht="27.6">
      <c r="A56" s="5" t="s">
        <v>207</v>
      </c>
      <c r="B56" s="5" t="s">
        <v>168</v>
      </c>
      <c r="C56" s="5" t="s">
        <v>208</v>
      </c>
      <c r="D56" s="5" t="s">
        <v>128</v>
      </c>
      <c r="E56" s="5">
        <v>222.52</v>
      </c>
      <c r="F56" s="5"/>
      <c r="G56" s="5"/>
      <c r="H56" s="5"/>
      <c r="I56" s="5">
        <v>222.52</v>
      </c>
      <c r="J56" s="5" t="s">
        <v>129</v>
      </c>
      <c r="K56" s="5"/>
      <c r="L56" s="5">
        <v>53</v>
      </c>
      <c r="M56" s="7">
        <f t="shared" si="2"/>
        <v>222.52</v>
      </c>
      <c r="N56" s="7" t="str">
        <f t="shared" si="3"/>
        <v>✓ 通過</v>
      </c>
      <c r="O56" s="7" t="s">
        <v>99</v>
      </c>
      <c r="P56" s="6"/>
      <c r="Q56" s="6"/>
    </row>
    <row r="57" spans="1:17" ht="27.6">
      <c r="A57" s="5" t="s">
        <v>209</v>
      </c>
      <c r="B57" s="5" t="s">
        <v>168</v>
      </c>
      <c r="C57" s="5" t="s">
        <v>208</v>
      </c>
      <c r="D57" s="5" t="s">
        <v>97</v>
      </c>
      <c r="E57" s="5">
        <v>0.21</v>
      </c>
      <c r="F57" s="5"/>
      <c r="G57" s="5"/>
      <c r="H57" s="5"/>
      <c r="I57" s="5">
        <v>0.21</v>
      </c>
      <c r="J57" s="5" t="s">
        <v>129</v>
      </c>
      <c r="K57" s="5"/>
      <c r="L57" s="5">
        <v>53</v>
      </c>
      <c r="M57" s="7">
        <f t="shared" si="2"/>
        <v>0.21</v>
      </c>
      <c r="N57" s="7" t="str">
        <f t="shared" si="3"/>
        <v>✓ 通過</v>
      </c>
      <c r="O57" s="7" t="s">
        <v>99</v>
      </c>
      <c r="P57" s="6"/>
      <c r="Q57" s="6"/>
    </row>
    <row r="58" spans="1:17" ht="27.6">
      <c r="A58" s="5" t="s">
        <v>210</v>
      </c>
      <c r="B58" s="5" t="s">
        <v>168</v>
      </c>
      <c r="C58" s="5" t="s">
        <v>211</v>
      </c>
      <c r="D58" s="5" t="s">
        <v>124</v>
      </c>
      <c r="E58" s="5">
        <v>0.04</v>
      </c>
      <c r="F58" s="5">
        <v>3.2000000000000001E-2</v>
      </c>
      <c r="G58" s="5">
        <v>2.7</v>
      </c>
      <c r="H58" s="5">
        <v>0.42599999999999999</v>
      </c>
      <c r="I58" s="5">
        <v>3.2</v>
      </c>
      <c r="J58" s="5"/>
      <c r="K58" s="5"/>
      <c r="L58" s="5">
        <v>53</v>
      </c>
      <c r="M58" s="7">
        <f t="shared" si="2"/>
        <v>3.1980000000000004</v>
      </c>
      <c r="N58" s="7" t="str">
        <f t="shared" si="3"/>
        <v>✓ 通過</v>
      </c>
      <c r="O58" s="7" t="s">
        <v>99</v>
      </c>
      <c r="P58" s="6"/>
      <c r="Q58" s="6"/>
    </row>
    <row r="59" spans="1:17" ht="27.6">
      <c r="A59" s="5" t="s">
        <v>212</v>
      </c>
      <c r="B59" s="5" t="s">
        <v>168</v>
      </c>
      <c r="C59" s="5" t="s">
        <v>213</v>
      </c>
      <c r="D59" s="5" t="s">
        <v>124</v>
      </c>
      <c r="E59" s="5">
        <v>37.43</v>
      </c>
      <c r="F59" s="5"/>
      <c r="G59" s="5">
        <v>5.65</v>
      </c>
      <c r="H59" s="5">
        <v>0.08</v>
      </c>
      <c r="I59" s="5">
        <v>43.16</v>
      </c>
      <c r="J59" s="5" t="s">
        <v>104</v>
      </c>
      <c r="K59" s="5"/>
      <c r="L59" s="5">
        <v>53</v>
      </c>
      <c r="M59" s="7">
        <f t="shared" si="2"/>
        <v>43.16</v>
      </c>
      <c r="N59" s="7" t="str">
        <f t="shared" si="3"/>
        <v>✓ 通過</v>
      </c>
      <c r="O59" s="7" t="s">
        <v>99</v>
      </c>
      <c r="P59" s="6"/>
      <c r="Q59" s="6"/>
    </row>
    <row r="60" spans="1:17" ht="27.6">
      <c r="A60" s="5" t="s">
        <v>214</v>
      </c>
      <c r="B60" s="5" t="s">
        <v>168</v>
      </c>
      <c r="C60" s="5" t="s">
        <v>35</v>
      </c>
      <c r="D60" s="5" t="s">
        <v>97</v>
      </c>
      <c r="E60" s="5">
        <v>3.5000000000000003E-2</v>
      </c>
      <c r="F60" s="5"/>
      <c r="G60" s="5"/>
      <c r="H60" s="5">
        <v>3.8E-3</v>
      </c>
      <c r="I60" s="5">
        <v>0.35</v>
      </c>
      <c r="J60" s="5" t="s">
        <v>98</v>
      </c>
      <c r="K60" s="5"/>
      <c r="L60" s="5">
        <v>53</v>
      </c>
      <c r="M60" s="7">
        <f t="shared" si="2"/>
        <v>3.8800000000000001E-2</v>
      </c>
      <c r="N60" s="7" t="str">
        <f t="shared" si="3"/>
        <v>⚠ 加總≠總量</v>
      </c>
      <c r="O60" s="7" t="s">
        <v>99</v>
      </c>
      <c r="P60" s="6"/>
      <c r="Q60" s="6"/>
    </row>
    <row r="61" spans="1:17" ht="27.6">
      <c r="A61" s="5" t="s">
        <v>215</v>
      </c>
      <c r="B61" s="5" t="s">
        <v>168</v>
      </c>
      <c r="C61" s="5" t="s">
        <v>216</v>
      </c>
      <c r="D61" s="5" t="s">
        <v>154</v>
      </c>
      <c r="E61" s="5">
        <v>0.06</v>
      </c>
      <c r="F61" s="5">
        <v>0.16</v>
      </c>
      <c r="G61" s="5">
        <v>1.84</v>
      </c>
      <c r="H61" s="5">
        <v>0.62</v>
      </c>
      <c r="I61" s="5">
        <v>2.68</v>
      </c>
      <c r="J61" s="5"/>
      <c r="K61" s="5"/>
      <c r="L61" s="5">
        <v>53</v>
      </c>
      <c r="M61" s="7">
        <f t="shared" si="2"/>
        <v>2.68</v>
      </c>
      <c r="N61" s="7" t="str">
        <f t="shared" si="3"/>
        <v>✓ 通過</v>
      </c>
      <c r="O61" s="7" t="s">
        <v>99</v>
      </c>
      <c r="P61" s="6"/>
      <c r="Q61" s="6"/>
    </row>
    <row r="62" spans="1:17" ht="27.6">
      <c r="A62" s="5" t="s">
        <v>217</v>
      </c>
      <c r="B62" s="5" t="s">
        <v>168</v>
      </c>
      <c r="C62" s="5" t="s">
        <v>218</v>
      </c>
      <c r="D62" s="5" t="s">
        <v>124</v>
      </c>
      <c r="E62" s="5">
        <v>0.01</v>
      </c>
      <c r="F62" s="5">
        <v>3.5999999999999997E-2</v>
      </c>
      <c r="G62" s="5">
        <v>1.75</v>
      </c>
      <c r="H62" s="5">
        <v>0.13600000000000001</v>
      </c>
      <c r="I62" s="5">
        <v>1.93</v>
      </c>
      <c r="J62" s="5"/>
      <c r="K62" s="5"/>
      <c r="L62" s="5">
        <v>53</v>
      </c>
      <c r="M62" s="7">
        <f t="shared" si="2"/>
        <v>1.9319999999999999</v>
      </c>
      <c r="N62" s="7" t="str">
        <f t="shared" si="3"/>
        <v>✓ 通過</v>
      </c>
      <c r="O62" s="7" t="s">
        <v>99</v>
      </c>
      <c r="P62" s="6"/>
      <c r="Q62" s="6"/>
    </row>
    <row r="63" spans="1:17" ht="27.6">
      <c r="A63" s="5" t="s">
        <v>219</v>
      </c>
      <c r="B63" s="5" t="s">
        <v>168</v>
      </c>
      <c r="C63" s="5" t="s">
        <v>220</v>
      </c>
      <c r="D63" s="5" t="s">
        <v>124</v>
      </c>
      <c r="E63" s="5">
        <v>0.02</v>
      </c>
      <c r="F63" s="5">
        <v>4.5999999999999999E-2</v>
      </c>
      <c r="G63" s="5">
        <v>2.33</v>
      </c>
      <c r="H63" s="5">
        <v>0.18</v>
      </c>
      <c r="I63" s="5">
        <v>2.58</v>
      </c>
      <c r="J63" s="5"/>
      <c r="K63" s="5"/>
      <c r="L63" s="5">
        <v>53</v>
      </c>
      <c r="M63" s="7">
        <f t="shared" si="2"/>
        <v>2.5760000000000001</v>
      </c>
      <c r="N63" s="7" t="str">
        <f t="shared" si="3"/>
        <v>✓ 通過</v>
      </c>
      <c r="O63" s="7" t="s">
        <v>99</v>
      </c>
      <c r="P63" s="6"/>
      <c r="Q63" s="6"/>
    </row>
    <row r="64" spans="1:17" ht="27.6">
      <c r="A64" s="5" t="s">
        <v>221</v>
      </c>
      <c r="B64" s="5" t="s">
        <v>168</v>
      </c>
      <c r="C64" s="5" t="s">
        <v>222</v>
      </c>
      <c r="D64" s="5" t="s">
        <v>124</v>
      </c>
      <c r="E64" s="5">
        <v>0.02</v>
      </c>
      <c r="F64" s="5">
        <v>5.6000000000000001E-2</v>
      </c>
      <c r="G64" s="5">
        <v>2.79</v>
      </c>
      <c r="H64" s="5">
        <v>0.216</v>
      </c>
      <c r="I64" s="5">
        <v>3.08</v>
      </c>
      <c r="J64" s="5"/>
      <c r="K64" s="5"/>
      <c r="L64" s="5">
        <v>53</v>
      </c>
      <c r="M64" s="7">
        <f t="shared" si="2"/>
        <v>3.0820000000000003</v>
      </c>
      <c r="N64" s="7" t="str">
        <f t="shared" si="3"/>
        <v>✓ 通過</v>
      </c>
      <c r="O64" s="7" t="s">
        <v>99</v>
      </c>
      <c r="P64" s="6"/>
      <c r="Q64" s="6"/>
    </row>
    <row r="65" spans="1:17" ht="27.6">
      <c r="A65" s="5" t="s">
        <v>223</v>
      </c>
      <c r="B65" s="5" t="s">
        <v>168</v>
      </c>
      <c r="C65" s="5" t="s">
        <v>224</v>
      </c>
      <c r="D65" s="5" t="s">
        <v>124</v>
      </c>
      <c r="E65" s="5">
        <v>0.01</v>
      </c>
      <c r="F65" s="5">
        <v>3.2000000000000001E-2</v>
      </c>
      <c r="G65" s="5">
        <v>1.28</v>
      </c>
      <c r="H65" s="5">
        <v>3.5999999999999997E-2</v>
      </c>
      <c r="I65" s="5">
        <v>1.36</v>
      </c>
      <c r="J65" s="5"/>
      <c r="K65" s="5"/>
      <c r="L65" s="5">
        <v>53</v>
      </c>
      <c r="M65" s="7">
        <f t="shared" si="2"/>
        <v>1.3580000000000001</v>
      </c>
      <c r="N65" s="7" t="str">
        <f t="shared" si="3"/>
        <v>✓ 通過</v>
      </c>
      <c r="O65" s="7" t="s">
        <v>99</v>
      </c>
      <c r="P65" s="6"/>
      <c r="Q65" s="6"/>
    </row>
    <row r="66" spans="1:17" ht="27.6">
      <c r="A66" s="5" t="s">
        <v>225</v>
      </c>
      <c r="B66" s="5" t="s">
        <v>168</v>
      </c>
      <c r="C66" s="5" t="s">
        <v>226</v>
      </c>
      <c r="D66" s="5" t="s">
        <v>124</v>
      </c>
      <c r="E66" s="5">
        <v>0.01</v>
      </c>
      <c r="F66" s="5">
        <v>4.5999999999999999E-2</v>
      </c>
      <c r="G66" s="5">
        <v>1.81</v>
      </c>
      <c r="H66" s="5">
        <v>5.1999999999999998E-2</v>
      </c>
      <c r="I66" s="5">
        <v>1.92</v>
      </c>
      <c r="J66" s="5"/>
      <c r="K66" s="5"/>
      <c r="L66" s="5">
        <v>53</v>
      </c>
      <c r="M66" s="7">
        <f t="shared" si="2"/>
        <v>1.9180000000000001</v>
      </c>
      <c r="N66" s="7" t="str">
        <f t="shared" si="3"/>
        <v>✓ 通過</v>
      </c>
      <c r="O66" s="7" t="s">
        <v>99</v>
      </c>
      <c r="P66" s="6"/>
      <c r="Q66" s="6"/>
    </row>
    <row r="67" spans="1:17" ht="27.6">
      <c r="A67" s="5" t="s">
        <v>227</v>
      </c>
      <c r="B67" s="5" t="s">
        <v>168</v>
      </c>
      <c r="C67" s="5" t="s">
        <v>228</v>
      </c>
      <c r="D67" s="5" t="s">
        <v>124</v>
      </c>
      <c r="E67" s="5">
        <v>0.02</v>
      </c>
      <c r="F67" s="5">
        <v>0.06</v>
      </c>
      <c r="G67" s="5">
        <v>2.39</v>
      </c>
      <c r="H67" s="5">
        <v>6.8000000000000005E-2</v>
      </c>
      <c r="I67" s="5">
        <v>2.54</v>
      </c>
      <c r="J67" s="5"/>
      <c r="K67" s="5"/>
      <c r="L67" s="5">
        <v>53</v>
      </c>
      <c r="M67" s="7">
        <f t="shared" si="2"/>
        <v>2.5380000000000003</v>
      </c>
      <c r="N67" s="7" t="str">
        <f t="shared" si="3"/>
        <v>✓ 通過</v>
      </c>
      <c r="O67" s="7" t="s">
        <v>99</v>
      </c>
      <c r="P67" s="6"/>
      <c r="Q67" s="6"/>
    </row>
    <row r="68" spans="1:17" ht="27.6">
      <c r="A68" s="5" t="s">
        <v>229</v>
      </c>
      <c r="B68" s="5" t="s">
        <v>168</v>
      </c>
      <c r="C68" s="5" t="s">
        <v>230</v>
      </c>
      <c r="D68" s="5" t="s">
        <v>124</v>
      </c>
      <c r="E68" s="5">
        <v>1.9319999999999999</v>
      </c>
      <c r="F68" s="5"/>
      <c r="G68" s="5"/>
      <c r="H68" s="5">
        <v>4.5999999999999999E-3</v>
      </c>
      <c r="I68" s="5">
        <v>1.94</v>
      </c>
      <c r="J68" s="5" t="s">
        <v>98</v>
      </c>
      <c r="K68" s="5"/>
      <c r="L68" s="5">
        <v>53</v>
      </c>
      <c r="M68" s="7">
        <f t="shared" si="2"/>
        <v>1.9365999999999999</v>
      </c>
      <c r="N68" s="7" t="str">
        <f t="shared" si="3"/>
        <v>✓ 通過</v>
      </c>
      <c r="O68" s="7" t="s">
        <v>99</v>
      </c>
      <c r="P68" s="6"/>
      <c r="Q68" s="6"/>
    </row>
    <row r="69" spans="1:17" ht="27.6">
      <c r="A69" s="5" t="s">
        <v>231</v>
      </c>
      <c r="B69" s="5" t="s">
        <v>232</v>
      </c>
      <c r="C69" s="5" t="s">
        <v>233</v>
      </c>
      <c r="D69" s="5" t="s">
        <v>97</v>
      </c>
      <c r="E69" s="5">
        <v>0.112</v>
      </c>
      <c r="F69" s="5">
        <v>4.7999999999999996E-3</v>
      </c>
      <c r="G69" s="5">
        <v>0.7</v>
      </c>
      <c r="H69" s="5">
        <v>5.3E-3</v>
      </c>
      <c r="I69" s="5">
        <v>0.82</v>
      </c>
      <c r="J69" s="5"/>
      <c r="K69" s="5"/>
      <c r="L69" s="5">
        <v>53</v>
      </c>
      <c r="M69" s="7">
        <f t="shared" ref="M69:M100" si="4">IF(COUNT(E69:H69)=0,"",SUM(E69:H69))</f>
        <v>0.82209999999999994</v>
      </c>
      <c r="N69" s="7" t="str">
        <f t="shared" ref="N69:N100" si="5">IF(COUNT(E69:H69)=0,"只有總量（無法驗算）",IF(ABS(SUM(E69:H69)-I69)&lt;=0.015,"✓ 通過","⚠ 加總≠總量"))</f>
        <v>✓ 通過</v>
      </c>
      <c r="O69" s="7" t="s">
        <v>99</v>
      </c>
      <c r="P69" s="6"/>
      <c r="Q69" s="6"/>
    </row>
    <row r="70" spans="1:17" ht="27.6">
      <c r="A70" s="5" t="s">
        <v>234</v>
      </c>
      <c r="B70" s="5" t="s">
        <v>232</v>
      </c>
      <c r="C70" s="5" t="s">
        <v>235</v>
      </c>
      <c r="D70" s="5" t="s">
        <v>124</v>
      </c>
      <c r="E70" s="5">
        <v>2.0499999999999998</v>
      </c>
      <c r="F70" s="5"/>
      <c r="G70" s="5"/>
      <c r="H70" s="5"/>
      <c r="I70" s="5">
        <v>2.0499999999999998</v>
      </c>
      <c r="J70" s="5" t="s">
        <v>129</v>
      </c>
      <c r="K70" s="5"/>
      <c r="L70" s="5">
        <v>53</v>
      </c>
      <c r="M70" s="7">
        <f t="shared" si="4"/>
        <v>2.0499999999999998</v>
      </c>
      <c r="N70" s="7" t="str">
        <f t="shared" si="5"/>
        <v>✓ 通過</v>
      </c>
      <c r="O70" s="7" t="s">
        <v>99</v>
      </c>
      <c r="P70" s="6"/>
      <c r="Q70" s="6"/>
    </row>
    <row r="71" spans="1:17" ht="27.6">
      <c r="A71" s="5" t="s">
        <v>236</v>
      </c>
      <c r="B71" s="5" t="s">
        <v>232</v>
      </c>
      <c r="C71" s="5" t="s">
        <v>237</v>
      </c>
      <c r="D71" s="5" t="s">
        <v>97</v>
      </c>
      <c r="E71" s="5">
        <v>1.1200000000000001</v>
      </c>
      <c r="F71" s="5"/>
      <c r="G71" s="5"/>
      <c r="H71" s="5">
        <v>5.3E-3</v>
      </c>
      <c r="I71" s="5">
        <v>1.1299999999999999</v>
      </c>
      <c r="J71" s="5" t="s">
        <v>98</v>
      </c>
      <c r="K71" s="5"/>
      <c r="L71" s="5">
        <v>53</v>
      </c>
      <c r="M71" s="7">
        <f t="shared" si="4"/>
        <v>1.1253000000000002</v>
      </c>
      <c r="N71" s="7" t="str">
        <f t="shared" si="5"/>
        <v>✓ 通過</v>
      </c>
      <c r="O71" s="7" t="s">
        <v>99</v>
      </c>
      <c r="P71" s="6"/>
      <c r="Q71" s="6"/>
    </row>
    <row r="72" spans="1:17" ht="27.6">
      <c r="A72" s="5" t="s">
        <v>238</v>
      </c>
      <c r="B72" s="5" t="s">
        <v>232</v>
      </c>
      <c r="C72" s="5" t="s">
        <v>239</v>
      </c>
      <c r="D72" s="5" t="s">
        <v>97</v>
      </c>
      <c r="E72" s="5">
        <v>1.75</v>
      </c>
      <c r="F72" s="5"/>
      <c r="G72" s="5"/>
      <c r="H72" s="5">
        <v>5.3E-3</v>
      </c>
      <c r="I72" s="5">
        <v>1.76</v>
      </c>
      <c r="J72" s="5" t="s">
        <v>98</v>
      </c>
      <c r="K72" s="5"/>
      <c r="L72" s="5">
        <v>54</v>
      </c>
      <c r="M72" s="7">
        <f t="shared" si="4"/>
        <v>1.7553000000000001</v>
      </c>
      <c r="N72" s="7" t="str">
        <f t="shared" si="5"/>
        <v>✓ 通過</v>
      </c>
      <c r="O72" s="7" t="s">
        <v>99</v>
      </c>
      <c r="P72" s="6"/>
      <c r="Q72" s="6"/>
    </row>
    <row r="73" spans="1:17" ht="27.6">
      <c r="A73" s="5" t="s">
        <v>240</v>
      </c>
      <c r="B73" s="5" t="s">
        <v>232</v>
      </c>
      <c r="C73" s="5" t="s">
        <v>241</v>
      </c>
      <c r="D73" s="5" t="s">
        <v>124</v>
      </c>
      <c r="E73" s="5">
        <v>4.4000000000000004</v>
      </c>
      <c r="F73" s="5"/>
      <c r="G73" s="5"/>
      <c r="H73" s="5"/>
      <c r="I73" s="5">
        <v>4.4000000000000004</v>
      </c>
      <c r="J73" s="5" t="s">
        <v>129</v>
      </c>
      <c r="K73" s="5"/>
      <c r="L73" s="5">
        <v>54</v>
      </c>
      <c r="M73" s="7">
        <f t="shared" si="4"/>
        <v>4.4000000000000004</v>
      </c>
      <c r="N73" s="7" t="str">
        <f t="shared" si="5"/>
        <v>✓ 通過</v>
      </c>
      <c r="O73" s="7" t="s">
        <v>99</v>
      </c>
      <c r="P73" s="6"/>
      <c r="Q73" s="6"/>
    </row>
    <row r="74" spans="1:17" ht="27.6">
      <c r="A74" s="5" t="s">
        <v>242</v>
      </c>
      <c r="B74" s="5" t="s">
        <v>232</v>
      </c>
      <c r="C74" s="5" t="s">
        <v>243</v>
      </c>
      <c r="D74" s="5" t="s">
        <v>97</v>
      </c>
      <c r="E74" s="5">
        <v>0.222</v>
      </c>
      <c r="F74" s="5">
        <v>4.7999999999999996E-3</v>
      </c>
      <c r="G74" s="5">
        <v>0.89</v>
      </c>
      <c r="H74" s="5">
        <v>5.3E-3</v>
      </c>
      <c r="I74" s="5">
        <v>1.1200000000000001</v>
      </c>
      <c r="J74" s="5"/>
      <c r="K74" s="5"/>
      <c r="L74" s="5">
        <v>54</v>
      </c>
      <c r="M74" s="7">
        <f t="shared" si="4"/>
        <v>1.1221000000000001</v>
      </c>
      <c r="N74" s="7" t="str">
        <f t="shared" si="5"/>
        <v>✓ 通過</v>
      </c>
      <c r="O74" s="7" t="s">
        <v>99</v>
      </c>
      <c r="P74" s="6"/>
      <c r="Q74" s="6"/>
    </row>
    <row r="75" spans="1:17" ht="27.6">
      <c r="A75" s="5" t="s">
        <v>244</v>
      </c>
      <c r="B75" s="5" t="s">
        <v>232</v>
      </c>
      <c r="C75" s="5" t="s">
        <v>245</v>
      </c>
      <c r="D75" s="5" t="s">
        <v>124</v>
      </c>
      <c r="E75" s="5">
        <v>2.8</v>
      </c>
      <c r="F75" s="5"/>
      <c r="G75" s="5"/>
      <c r="H75" s="5"/>
      <c r="I75" s="5">
        <v>2.8</v>
      </c>
      <c r="J75" s="5" t="s">
        <v>129</v>
      </c>
      <c r="K75" s="5"/>
      <c r="L75" s="5">
        <v>54</v>
      </c>
      <c r="M75" s="7">
        <f t="shared" si="4"/>
        <v>2.8</v>
      </c>
      <c r="N75" s="7" t="str">
        <f t="shared" si="5"/>
        <v>✓ 通過</v>
      </c>
      <c r="O75" s="7" t="s">
        <v>99</v>
      </c>
      <c r="P75" s="6"/>
      <c r="Q75" s="6"/>
    </row>
    <row r="76" spans="1:17" ht="27.6">
      <c r="A76" s="5" t="s">
        <v>246</v>
      </c>
      <c r="B76" s="5" t="s">
        <v>232</v>
      </c>
      <c r="C76" s="5" t="s">
        <v>247</v>
      </c>
      <c r="D76" s="5" t="s">
        <v>124</v>
      </c>
      <c r="E76" s="5">
        <v>20.5</v>
      </c>
      <c r="F76" s="5"/>
      <c r="G76" s="5"/>
      <c r="H76" s="5">
        <v>0.13250000000000001</v>
      </c>
      <c r="I76" s="5">
        <v>20.63</v>
      </c>
      <c r="J76" s="5" t="s">
        <v>98</v>
      </c>
      <c r="K76" s="5"/>
      <c r="L76" s="5">
        <v>54</v>
      </c>
      <c r="M76" s="7">
        <f t="shared" si="4"/>
        <v>20.6325</v>
      </c>
      <c r="N76" s="7" t="str">
        <f t="shared" si="5"/>
        <v>✓ 通過</v>
      </c>
      <c r="O76" s="7" t="s">
        <v>99</v>
      </c>
      <c r="P76" s="6"/>
      <c r="Q76" s="6"/>
    </row>
    <row r="77" spans="1:17" ht="27.6">
      <c r="A77" s="5" t="s">
        <v>248</v>
      </c>
      <c r="B77" s="5" t="s">
        <v>232</v>
      </c>
      <c r="C77" s="5" t="s">
        <v>249</v>
      </c>
      <c r="D77" s="5" t="s">
        <v>124</v>
      </c>
      <c r="E77" s="5">
        <v>24.6</v>
      </c>
      <c r="F77" s="5"/>
      <c r="G77" s="5"/>
      <c r="H77" s="5">
        <v>0.159</v>
      </c>
      <c r="I77" s="5">
        <v>24.76</v>
      </c>
      <c r="J77" s="5" t="s">
        <v>98</v>
      </c>
      <c r="K77" s="5"/>
      <c r="L77" s="5">
        <v>54</v>
      </c>
      <c r="M77" s="7">
        <f t="shared" si="4"/>
        <v>24.759</v>
      </c>
      <c r="N77" s="7" t="str">
        <f t="shared" si="5"/>
        <v>✓ 通過</v>
      </c>
      <c r="O77" s="7" t="s">
        <v>99</v>
      </c>
      <c r="P77" s="6"/>
      <c r="Q77" s="6"/>
    </row>
    <row r="78" spans="1:17" ht="27.6">
      <c r="A78" s="5" t="s">
        <v>250</v>
      </c>
      <c r="B78" s="5" t="s">
        <v>232</v>
      </c>
      <c r="C78" s="5" t="s">
        <v>251</v>
      </c>
      <c r="D78" s="5" t="s">
        <v>124</v>
      </c>
      <c r="E78" s="5">
        <v>32.799999999999997</v>
      </c>
      <c r="F78" s="5"/>
      <c r="G78" s="5"/>
      <c r="H78" s="5">
        <v>0.21199999999999999</v>
      </c>
      <c r="I78" s="5">
        <v>33.01</v>
      </c>
      <c r="J78" s="5" t="s">
        <v>98</v>
      </c>
      <c r="K78" s="5"/>
      <c r="L78" s="5">
        <v>54</v>
      </c>
      <c r="M78" s="7">
        <f t="shared" si="4"/>
        <v>33.012</v>
      </c>
      <c r="N78" s="7" t="str">
        <f t="shared" si="5"/>
        <v>✓ 通過</v>
      </c>
      <c r="O78" s="7" t="s">
        <v>99</v>
      </c>
      <c r="P78" s="6"/>
      <c r="Q78" s="6"/>
    </row>
    <row r="79" spans="1:17" ht="27.6">
      <c r="A79" s="5" t="s">
        <v>252</v>
      </c>
      <c r="B79" s="5" t="s">
        <v>232</v>
      </c>
      <c r="C79" s="5" t="s">
        <v>253</v>
      </c>
      <c r="D79" s="5" t="s">
        <v>97</v>
      </c>
      <c r="E79" s="5">
        <v>0.222</v>
      </c>
      <c r="F79" s="5">
        <v>4.7999999999999996E-3</v>
      </c>
      <c r="G79" s="5">
        <v>1.08</v>
      </c>
      <c r="H79" s="5">
        <v>5.3E-3</v>
      </c>
      <c r="I79" s="5">
        <v>1.31</v>
      </c>
      <c r="J79" s="5"/>
      <c r="K79" s="5"/>
      <c r="L79" s="5">
        <v>54</v>
      </c>
      <c r="M79" s="7">
        <f t="shared" si="4"/>
        <v>1.3121</v>
      </c>
      <c r="N79" s="7" t="str">
        <f t="shared" si="5"/>
        <v>✓ 通過</v>
      </c>
      <c r="O79" s="7" t="s">
        <v>99</v>
      </c>
      <c r="P79" s="6"/>
      <c r="Q79" s="6"/>
    </row>
    <row r="80" spans="1:17" ht="27.6">
      <c r="A80" s="5" t="s">
        <v>254</v>
      </c>
      <c r="B80" s="5" t="s">
        <v>232</v>
      </c>
      <c r="C80" s="5" t="s">
        <v>255</v>
      </c>
      <c r="D80" s="5" t="s">
        <v>97</v>
      </c>
      <c r="E80" s="5">
        <v>0.112</v>
      </c>
      <c r="F80" s="5">
        <v>4.7999999999999996E-3</v>
      </c>
      <c r="G80" s="5">
        <v>2.41</v>
      </c>
      <c r="H80" s="5">
        <v>5.3E-3</v>
      </c>
      <c r="I80" s="5">
        <v>2.5299999999999998</v>
      </c>
      <c r="J80" s="5"/>
      <c r="K80" s="5"/>
      <c r="L80" s="5">
        <v>54</v>
      </c>
      <c r="M80" s="7">
        <f t="shared" si="4"/>
        <v>2.5321000000000002</v>
      </c>
      <c r="N80" s="7" t="str">
        <f t="shared" si="5"/>
        <v>✓ 通過</v>
      </c>
      <c r="O80" s="7" t="s">
        <v>99</v>
      </c>
      <c r="P80" s="6"/>
      <c r="Q80" s="6"/>
    </row>
    <row r="81" spans="1:17" ht="27.6">
      <c r="A81" s="5" t="s">
        <v>256</v>
      </c>
      <c r="B81" s="5" t="s">
        <v>232</v>
      </c>
      <c r="C81" s="5" t="s">
        <v>257</v>
      </c>
      <c r="D81" s="5" t="s">
        <v>258</v>
      </c>
      <c r="E81" s="5">
        <v>3.28</v>
      </c>
      <c r="F81" s="5"/>
      <c r="G81" s="5"/>
      <c r="H81" s="5"/>
      <c r="I81" s="5">
        <v>3.28</v>
      </c>
      <c r="J81" s="5" t="s">
        <v>129</v>
      </c>
      <c r="K81" s="5"/>
      <c r="L81" s="5">
        <v>54</v>
      </c>
      <c r="M81" s="7">
        <f t="shared" si="4"/>
        <v>3.28</v>
      </c>
      <c r="N81" s="7" t="str">
        <f t="shared" si="5"/>
        <v>✓ 通過</v>
      </c>
      <c r="O81" s="7" t="s">
        <v>99</v>
      </c>
      <c r="P81" s="6"/>
      <c r="Q81" s="6"/>
    </row>
    <row r="82" spans="1:17" ht="27.6">
      <c r="A82" s="5" t="s">
        <v>259</v>
      </c>
      <c r="B82" s="5" t="s">
        <v>260</v>
      </c>
      <c r="C82" s="5" t="s">
        <v>261</v>
      </c>
      <c r="D82" s="5" t="s">
        <v>128</v>
      </c>
      <c r="E82" s="5"/>
      <c r="F82" s="5"/>
      <c r="G82" s="5"/>
      <c r="H82" s="5"/>
      <c r="I82" s="5">
        <v>66.09</v>
      </c>
      <c r="J82" s="5"/>
      <c r="K82" s="5"/>
      <c r="L82" s="5">
        <v>54</v>
      </c>
      <c r="M82" s="7" t="str">
        <f t="shared" si="4"/>
        <v/>
      </c>
      <c r="N82" s="7" t="str">
        <f t="shared" si="5"/>
        <v>只有總量（無法驗算）</v>
      </c>
      <c r="O82" s="7" t="s">
        <v>99</v>
      </c>
      <c r="P82" s="6"/>
      <c r="Q82" s="6"/>
    </row>
    <row r="83" spans="1:17" ht="27.6">
      <c r="A83" s="5" t="s">
        <v>262</v>
      </c>
      <c r="B83" s="5" t="s">
        <v>260</v>
      </c>
      <c r="C83" s="5" t="s">
        <v>263</v>
      </c>
      <c r="D83" s="5" t="s">
        <v>128</v>
      </c>
      <c r="E83" s="5"/>
      <c r="F83" s="5"/>
      <c r="G83" s="5"/>
      <c r="H83" s="5"/>
      <c r="I83" s="5">
        <v>258.37</v>
      </c>
      <c r="J83" s="5"/>
      <c r="K83" s="5"/>
      <c r="L83" s="5">
        <v>54</v>
      </c>
      <c r="M83" s="7" t="str">
        <f t="shared" si="4"/>
        <v/>
      </c>
      <c r="N83" s="7" t="str">
        <f t="shared" si="5"/>
        <v>只有總量（無法驗算）</v>
      </c>
      <c r="O83" s="7" t="s">
        <v>99</v>
      </c>
      <c r="P83" s="6"/>
      <c r="Q83" s="6"/>
    </row>
    <row r="84" spans="1:17" ht="27.6">
      <c r="A84" s="5" t="s">
        <v>264</v>
      </c>
      <c r="B84" s="5" t="s">
        <v>260</v>
      </c>
      <c r="C84" s="5" t="s">
        <v>265</v>
      </c>
      <c r="D84" s="5" t="s">
        <v>128</v>
      </c>
      <c r="E84" s="5"/>
      <c r="F84" s="5"/>
      <c r="G84" s="5"/>
      <c r="H84" s="5"/>
      <c r="I84" s="5">
        <v>214.34</v>
      </c>
      <c r="J84" s="5"/>
      <c r="K84" s="5"/>
      <c r="L84" s="5">
        <v>54</v>
      </c>
      <c r="M84" s="7" t="str">
        <f t="shared" si="4"/>
        <v/>
      </c>
      <c r="N84" s="7" t="str">
        <f t="shared" si="5"/>
        <v>只有總量（無法驗算）</v>
      </c>
      <c r="O84" s="7" t="s">
        <v>99</v>
      </c>
      <c r="P84" s="6"/>
      <c r="Q84" s="6"/>
    </row>
    <row r="85" spans="1:17" ht="27.6">
      <c r="A85" s="5" t="s">
        <v>266</v>
      </c>
      <c r="B85" s="5" t="s">
        <v>267</v>
      </c>
      <c r="C85" s="5" t="s">
        <v>268</v>
      </c>
      <c r="D85" s="5" t="s">
        <v>269</v>
      </c>
      <c r="E85" s="5"/>
      <c r="F85" s="5">
        <v>5.2999999999999999E-2</v>
      </c>
      <c r="G85" s="5">
        <v>0.65</v>
      </c>
      <c r="H85" s="5">
        <v>0.02</v>
      </c>
      <c r="I85" s="5">
        <v>0.72</v>
      </c>
      <c r="J85" s="5"/>
      <c r="K85" s="5"/>
      <c r="L85" s="5">
        <v>54</v>
      </c>
      <c r="M85" s="7">
        <f t="shared" si="4"/>
        <v>0.72300000000000009</v>
      </c>
      <c r="N85" s="7" t="str">
        <f t="shared" si="5"/>
        <v>✓ 通過</v>
      </c>
      <c r="O85" s="7" t="s">
        <v>99</v>
      </c>
      <c r="P85" s="6"/>
      <c r="Q85" s="6"/>
    </row>
    <row r="86" spans="1:17" ht="55.2">
      <c r="A86" s="5" t="s">
        <v>270</v>
      </c>
      <c r="B86" s="5" t="s">
        <v>267</v>
      </c>
      <c r="C86" s="5" t="s">
        <v>271</v>
      </c>
      <c r="D86" s="5" t="s">
        <v>269</v>
      </c>
      <c r="E86" s="5"/>
      <c r="F86" s="5">
        <v>0.19</v>
      </c>
      <c r="G86" s="5">
        <v>6.63</v>
      </c>
      <c r="H86" s="5">
        <v>7.0000000000000007E-2</v>
      </c>
      <c r="I86" s="5">
        <v>6.89</v>
      </c>
      <c r="J86" s="5"/>
      <c r="K86" s="5"/>
      <c r="L86" s="5">
        <v>54</v>
      </c>
      <c r="M86" s="7">
        <f t="shared" si="4"/>
        <v>6.8900000000000006</v>
      </c>
      <c r="N86" s="7" t="str">
        <f t="shared" si="5"/>
        <v>✓ 通過</v>
      </c>
      <c r="O86" s="7" t="s">
        <v>99</v>
      </c>
      <c r="P86" s="6"/>
      <c r="Q86" s="6"/>
    </row>
    <row r="87" spans="1:17" ht="27.6">
      <c r="A87" s="5" t="s">
        <v>272</v>
      </c>
      <c r="B87" s="5" t="s">
        <v>267</v>
      </c>
      <c r="C87" s="5" t="s">
        <v>273</v>
      </c>
      <c r="D87" s="5" t="s">
        <v>269</v>
      </c>
      <c r="E87" s="5"/>
      <c r="F87" s="5">
        <v>0.157</v>
      </c>
      <c r="G87" s="5">
        <v>3.12</v>
      </c>
      <c r="H87" s="5">
        <v>0.06</v>
      </c>
      <c r="I87" s="5">
        <v>3.34</v>
      </c>
      <c r="J87" s="5"/>
      <c r="K87" s="5"/>
      <c r="L87" s="5">
        <v>54</v>
      </c>
      <c r="M87" s="7">
        <f t="shared" si="4"/>
        <v>3.3370000000000002</v>
      </c>
      <c r="N87" s="7" t="str">
        <f t="shared" si="5"/>
        <v>✓ 通過</v>
      </c>
      <c r="O87" s="7" t="s">
        <v>99</v>
      </c>
      <c r="P87" s="6"/>
      <c r="Q87" s="6"/>
    </row>
    <row r="88" spans="1:17" ht="27.6">
      <c r="A88" s="5" t="s">
        <v>274</v>
      </c>
      <c r="B88" s="5" t="s">
        <v>267</v>
      </c>
      <c r="C88" s="5" t="s">
        <v>275</v>
      </c>
      <c r="D88" s="5" t="s">
        <v>269</v>
      </c>
      <c r="E88" s="5"/>
      <c r="F88" s="5">
        <v>0.157</v>
      </c>
      <c r="G88" s="5">
        <v>1.29</v>
      </c>
      <c r="H88" s="5">
        <v>0.06</v>
      </c>
      <c r="I88" s="5">
        <v>1.51</v>
      </c>
      <c r="J88" s="5"/>
      <c r="K88" s="5"/>
      <c r="L88" s="5">
        <v>54</v>
      </c>
      <c r="M88" s="7">
        <f t="shared" si="4"/>
        <v>1.5070000000000001</v>
      </c>
      <c r="N88" s="7" t="str">
        <f t="shared" si="5"/>
        <v>✓ 通過</v>
      </c>
      <c r="O88" s="7" t="s">
        <v>99</v>
      </c>
      <c r="P88" s="6"/>
      <c r="Q88" s="6"/>
    </row>
    <row r="89" spans="1:17" ht="27.6">
      <c r="A89" s="5" t="s">
        <v>276</v>
      </c>
      <c r="B89" s="5" t="s">
        <v>267</v>
      </c>
      <c r="C89" s="5" t="s">
        <v>277</v>
      </c>
      <c r="D89" s="5" t="s">
        <v>269</v>
      </c>
      <c r="E89" s="5"/>
      <c r="F89" s="5">
        <v>0.157</v>
      </c>
      <c r="G89" s="5">
        <v>2.66</v>
      </c>
      <c r="H89" s="5">
        <v>0.06</v>
      </c>
      <c r="I89" s="5">
        <v>2.87</v>
      </c>
      <c r="J89" s="5"/>
      <c r="K89" s="5"/>
      <c r="L89" s="5">
        <v>54</v>
      </c>
      <c r="M89" s="7">
        <f t="shared" si="4"/>
        <v>2.8770000000000002</v>
      </c>
      <c r="N89" s="7" t="str">
        <f t="shared" si="5"/>
        <v>✓ 通過</v>
      </c>
      <c r="O89" s="7" t="s">
        <v>99</v>
      </c>
      <c r="P89" s="6"/>
      <c r="Q89" s="6"/>
    </row>
    <row r="90" spans="1:17" ht="96.6">
      <c r="A90" s="5" t="s">
        <v>278</v>
      </c>
      <c r="B90" s="5" t="s">
        <v>267</v>
      </c>
      <c r="C90" s="5" t="s">
        <v>279</v>
      </c>
      <c r="D90" s="5" t="s">
        <v>269</v>
      </c>
      <c r="E90" s="5"/>
      <c r="F90" s="5"/>
      <c r="G90" s="5"/>
      <c r="H90" s="5"/>
      <c r="I90" s="5">
        <v>17.600000000000001</v>
      </c>
      <c r="J90" s="5"/>
      <c r="K90" s="5" t="s">
        <v>280</v>
      </c>
      <c r="L90" s="5">
        <v>54</v>
      </c>
      <c r="M90" s="7" t="str">
        <f t="shared" si="4"/>
        <v/>
      </c>
      <c r="N90" s="7" t="str">
        <f t="shared" si="5"/>
        <v>只有總量（無法驗算）</v>
      </c>
      <c r="O90" s="7" t="s">
        <v>99</v>
      </c>
      <c r="P90" s="6"/>
      <c r="Q90" s="6"/>
    </row>
    <row r="91" spans="1:17" ht="27.6">
      <c r="A91" s="5" t="s">
        <v>281</v>
      </c>
      <c r="B91" s="5" t="s">
        <v>267</v>
      </c>
      <c r="C91" s="5" t="s">
        <v>282</v>
      </c>
      <c r="D91" s="5" t="s">
        <v>269</v>
      </c>
      <c r="E91" s="5"/>
      <c r="F91" s="5"/>
      <c r="G91" s="5"/>
      <c r="H91" s="5"/>
      <c r="I91" s="5">
        <v>14.48</v>
      </c>
      <c r="J91" s="5"/>
      <c r="K91" s="5"/>
      <c r="L91" s="5">
        <v>54</v>
      </c>
      <c r="M91" s="7" t="str">
        <f t="shared" si="4"/>
        <v/>
      </c>
      <c r="N91" s="7" t="str">
        <f t="shared" si="5"/>
        <v>只有總量（無法驗算）</v>
      </c>
      <c r="O91" s="7" t="s">
        <v>99</v>
      </c>
      <c r="P91" s="6"/>
      <c r="Q91" s="6"/>
    </row>
    <row r="92" spans="1:17" ht="27.6">
      <c r="A92" s="5" t="s">
        <v>283</v>
      </c>
      <c r="B92" s="5" t="s">
        <v>267</v>
      </c>
      <c r="C92" s="5" t="s">
        <v>284</v>
      </c>
      <c r="D92" s="5" t="s">
        <v>269</v>
      </c>
      <c r="E92" s="5"/>
      <c r="F92" s="5"/>
      <c r="G92" s="5"/>
      <c r="H92" s="5"/>
      <c r="I92" s="5">
        <v>11.4</v>
      </c>
      <c r="J92" s="5"/>
      <c r="K92" s="5"/>
      <c r="L92" s="5">
        <v>54</v>
      </c>
      <c r="M92" s="7" t="str">
        <f t="shared" si="4"/>
        <v/>
      </c>
      <c r="N92" s="7" t="str">
        <f t="shared" si="5"/>
        <v>只有總量（無法驗算）</v>
      </c>
      <c r="O92" s="7" t="s">
        <v>99</v>
      </c>
      <c r="P92" s="6"/>
      <c r="Q92" s="6"/>
    </row>
    <row r="93" spans="1:17" ht="27.6">
      <c r="A93" s="5" t="s">
        <v>285</v>
      </c>
      <c r="B93" s="5" t="s">
        <v>267</v>
      </c>
      <c r="C93" s="5" t="s">
        <v>286</v>
      </c>
      <c r="D93" s="5" t="s">
        <v>269</v>
      </c>
      <c r="E93" s="5"/>
      <c r="F93" s="5"/>
      <c r="G93" s="5"/>
      <c r="H93" s="5"/>
      <c r="I93" s="5">
        <v>5.87</v>
      </c>
      <c r="J93" s="5"/>
      <c r="K93" s="5"/>
      <c r="L93" s="5">
        <v>54</v>
      </c>
      <c r="M93" s="7" t="str">
        <f t="shared" si="4"/>
        <v/>
      </c>
      <c r="N93" s="7" t="str">
        <f t="shared" si="5"/>
        <v>只有總量（無法驗算）</v>
      </c>
      <c r="O93" s="7" t="s">
        <v>99</v>
      </c>
      <c r="P93" s="6"/>
      <c r="Q93" s="6"/>
    </row>
    <row r="94" spans="1:17" ht="55.2">
      <c r="A94" s="5" t="s">
        <v>287</v>
      </c>
      <c r="B94" s="5" t="s">
        <v>267</v>
      </c>
      <c r="C94" s="5" t="s">
        <v>288</v>
      </c>
      <c r="D94" s="5" t="s">
        <v>269</v>
      </c>
      <c r="E94" s="5"/>
      <c r="F94" s="5"/>
      <c r="G94" s="5"/>
      <c r="H94" s="5"/>
      <c r="I94" s="5">
        <v>1.79</v>
      </c>
      <c r="J94" s="5"/>
      <c r="K94" s="5" t="s">
        <v>289</v>
      </c>
      <c r="L94" s="5">
        <v>54</v>
      </c>
      <c r="M94" s="7" t="str">
        <f t="shared" si="4"/>
        <v/>
      </c>
      <c r="N94" s="7" t="str">
        <f t="shared" si="5"/>
        <v>只有總量（無法驗算）</v>
      </c>
      <c r="O94" s="7" t="s">
        <v>99</v>
      </c>
      <c r="P94" s="6"/>
      <c r="Q94" s="6"/>
    </row>
    <row r="95" spans="1:17" ht="55.2">
      <c r="A95" s="5" t="s">
        <v>290</v>
      </c>
      <c r="B95" s="5" t="s">
        <v>267</v>
      </c>
      <c r="C95" s="5" t="s">
        <v>291</v>
      </c>
      <c r="D95" s="5" t="s">
        <v>269</v>
      </c>
      <c r="E95" s="5"/>
      <c r="F95" s="5"/>
      <c r="G95" s="5"/>
      <c r="H95" s="5"/>
      <c r="I95" s="5">
        <v>3.54</v>
      </c>
      <c r="J95" s="5"/>
      <c r="K95" s="5" t="s">
        <v>292</v>
      </c>
      <c r="L95" s="5">
        <v>54</v>
      </c>
      <c r="M95" s="7" t="str">
        <f t="shared" si="4"/>
        <v/>
      </c>
      <c r="N95" s="7" t="str">
        <f t="shared" si="5"/>
        <v>只有總量（無法驗算）</v>
      </c>
      <c r="O95" s="7" t="s">
        <v>99</v>
      </c>
      <c r="P95" s="6"/>
      <c r="Q95" s="6"/>
    </row>
    <row r="96" spans="1:17" ht="27.6">
      <c r="A96" s="5" t="s">
        <v>293</v>
      </c>
      <c r="B96" s="5" t="s">
        <v>267</v>
      </c>
      <c r="C96" s="5" t="s">
        <v>294</v>
      </c>
      <c r="D96" s="5" t="s">
        <v>269</v>
      </c>
      <c r="E96" s="5"/>
      <c r="F96" s="5">
        <v>0.56599999999999995</v>
      </c>
      <c r="G96" s="5">
        <v>0.28000000000000003</v>
      </c>
      <c r="H96" s="5">
        <v>0.157</v>
      </c>
      <c r="I96" s="5">
        <v>1</v>
      </c>
      <c r="J96" s="5"/>
      <c r="K96" s="5"/>
      <c r="L96" s="5">
        <v>54</v>
      </c>
      <c r="M96" s="7">
        <f t="shared" si="4"/>
        <v>1.0029999999999999</v>
      </c>
      <c r="N96" s="7" t="str">
        <f t="shared" si="5"/>
        <v>✓ 通過</v>
      </c>
      <c r="O96" s="7" t="s">
        <v>99</v>
      </c>
      <c r="P96" s="6"/>
      <c r="Q96" s="6"/>
    </row>
    <row r="97" spans="1:17" ht="27.6">
      <c r="A97" s="5" t="s">
        <v>295</v>
      </c>
      <c r="B97" s="5" t="s">
        <v>296</v>
      </c>
      <c r="C97" s="5" t="s">
        <v>297</v>
      </c>
      <c r="D97" s="5" t="s">
        <v>97</v>
      </c>
      <c r="E97" s="5">
        <v>1.72</v>
      </c>
      <c r="F97" s="5"/>
      <c r="G97" s="5"/>
      <c r="H97" s="5">
        <v>5.4999999999999997E-3</v>
      </c>
      <c r="I97" s="5">
        <v>1.73</v>
      </c>
      <c r="J97" s="5" t="s">
        <v>98</v>
      </c>
      <c r="K97" s="5"/>
      <c r="L97" s="5">
        <v>55</v>
      </c>
      <c r="M97" s="7">
        <f t="shared" si="4"/>
        <v>1.7255</v>
      </c>
      <c r="N97" s="7" t="str">
        <f t="shared" si="5"/>
        <v>✓ 通過</v>
      </c>
      <c r="O97" s="7" t="s">
        <v>99</v>
      </c>
      <c r="P97" s="6"/>
      <c r="Q97" s="6"/>
    </row>
    <row r="98" spans="1:17" ht="27.6">
      <c r="A98" s="5" t="s">
        <v>298</v>
      </c>
      <c r="B98" s="5" t="s">
        <v>296</v>
      </c>
      <c r="C98" s="5" t="s">
        <v>299</v>
      </c>
      <c r="D98" s="5" t="s">
        <v>97</v>
      </c>
      <c r="E98" s="5">
        <v>2.35</v>
      </c>
      <c r="F98" s="5"/>
      <c r="G98" s="5"/>
      <c r="H98" s="5">
        <v>6.4999999999999997E-3</v>
      </c>
      <c r="I98" s="5">
        <v>2.36</v>
      </c>
      <c r="J98" s="5" t="s">
        <v>98</v>
      </c>
      <c r="K98" s="5"/>
      <c r="L98" s="5">
        <v>55</v>
      </c>
      <c r="M98" s="7">
        <f t="shared" si="4"/>
        <v>2.3565</v>
      </c>
      <c r="N98" s="7" t="str">
        <f t="shared" si="5"/>
        <v>✓ 通過</v>
      </c>
      <c r="O98" s="7" t="s">
        <v>99</v>
      </c>
      <c r="P98" s="6"/>
      <c r="Q98" s="6"/>
    </row>
    <row r="99" spans="1:17" ht="27.6">
      <c r="A99" s="5" t="s">
        <v>300</v>
      </c>
      <c r="B99" s="5" t="s">
        <v>296</v>
      </c>
      <c r="C99" s="5" t="s">
        <v>301</v>
      </c>
      <c r="D99" s="5" t="s">
        <v>97</v>
      </c>
      <c r="E99" s="5">
        <v>8.8699999999999992</v>
      </c>
      <c r="F99" s="5"/>
      <c r="G99" s="5"/>
      <c r="H99" s="5">
        <v>6.3E-3</v>
      </c>
      <c r="I99" s="5">
        <v>8.8800000000000008</v>
      </c>
      <c r="J99" s="5" t="s">
        <v>98</v>
      </c>
      <c r="K99" s="5"/>
      <c r="L99" s="5">
        <v>55</v>
      </c>
      <c r="M99" s="7">
        <f t="shared" si="4"/>
        <v>8.8762999999999987</v>
      </c>
      <c r="N99" s="7" t="str">
        <f t="shared" si="5"/>
        <v>✓ 通過</v>
      </c>
      <c r="O99" s="7" t="s">
        <v>99</v>
      </c>
      <c r="P99" s="6"/>
      <c r="Q99" s="6"/>
    </row>
    <row r="100" spans="1:17" ht="27.6">
      <c r="A100" s="5" t="s">
        <v>302</v>
      </c>
      <c r="B100" s="5" t="s">
        <v>296</v>
      </c>
      <c r="C100" s="5" t="s">
        <v>303</v>
      </c>
      <c r="D100" s="5" t="s">
        <v>97</v>
      </c>
      <c r="E100" s="5">
        <v>3.02</v>
      </c>
      <c r="F100" s="5"/>
      <c r="G100" s="5"/>
      <c r="H100" s="5"/>
      <c r="I100" s="5">
        <v>3.02</v>
      </c>
      <c r="J100" s="5" t="s">
        <v>129</v>
      </c>
      <c r="K100" s="5"/>
      <c r="L100" s="5">
        <v>55</v>
      </c>
      <c r="M100" s="7">
        <f t="shared" si="4"/>
        <v>3.02</v>
      </c>
      <c r="N100" s="7" t="str">
        <f t="shared" si="5"/>
        <v>✓ 通過</v>
      </c>
      <c r="O100" s="7" t="s">
        <v>99</v>
      </c>
      <c r="P100" s="6"/>
      <c r="Q100" s="6"/>
    </row>
    <row r="101" spans="1:17" ht="27.6">
      <c r="A101" s="5" t="s">
        <v>304</v>
      </c>
      <c r="B101" s="5" t="s">
        <v>296</v>
      </c>
      <c r="C101" s="5" t="s">
        <v>305</v>
      </c>
      <c r="D101" s="5" t="s">
        <v>124</v>
      </c>
      <c r="E101" s="5">
        <v>3.7</v>
      </c>
      <c r="F101" s="5"/>
      <c r="G101" s="5"/>
      <c r="H101" s="5"/>
      <c r="I101" s="5">
        <v>3.7</v>
      </c>
      <c r="J101" s="5" t="s">
        <v>129</v>
      </c>
      <c r="K101" s="5"/>
      <c r="L101" s="5">
        <v>55</v>
      </c>
      <c r="M101" s="7">
        <f t="shared" ref="M101:M124" si="6">IF(COUNT(E101:H101)=0,"",SUM(E101:H101))</f>
        <v>3.7</v>
      </c>
      <c r="N101" s="7" t="str">
        <f t="shared" ref="N101:N124" si="7">IF(COUNT(E101:H101)=0,"只有總量（無法驗算）",IF(ABS(SUM(E101:H101)-I101)&lt;=0.015,"✓ 通過","⚠ 加總≠總量"))</f>
        <v>✓ 通過</v>
      </c>
      <c r="O101" s="7" t="s">
        <v>99</v>
      </c>
      <c r="P101" s="6"/>
      <c r="Q101" s="6"/>
    </row>
    <row r="102" spans="1:17" ht="27.6">
      <c r="A102" s="5" t="s">
        <v>306</v>
      </c>
      <c r="B102" s="5" t="s">
        <v>296</v>
      </c>
      <c r="C102" s="5" t="s">
        <v>307</v>
      </c>
      <c r="D102" s="5" t="s">
        <v>97</v>
      </c>
      <c r="E102" s="5">
        <v>2.25</v>
      </c>
      <c r="F102" s="5"/>
      <c r="G102" s="5"/>
      <c r="H102" s="5">
        <v>9.7999999999999997E-3</v>
      </c>
      <c r="I102" s="5">
        <v>2.2599999999999998</v>
      </c>
      <c r="J102" s="5" t="s">
        <v>98</v>
      </c>
      <c r="K102" s="5"/>
      <c r="L102" s="5">
        <v>55</v>
      </c>
      <c r="M102" s="7">
        <f t="shared" si="6"/>
        <v>2.2597999999999998</v>
      </c>
      <c r="N102" s="7" t="str">
        <f t="shared" si="7"/>
        <v>✓ 通過</v>
      </c>
      <c r="O102" s="7" t="s">
        <v>99</v>
      </c>
      <c r="P102" s="6"/>
      <c r="Q102" s="6"/>
    </row>
    <row r="103" spans="1:17" ht="27.6">
      <c r="A103" s="5" t="s">
        <v>308</v>
      </c>
      <c r="B103" s="5" t="s">
        <v>296</v>
      </c>
      <c r="C103" s="5" t="s">
        <v>309</v>
      </c>
      <c r="D103" s="5" t="s">
        <v>97</v>
      </c>
      <c r="E103" s="5">
        <v>1.9</v>
      </c>
      <c r="F103" s="5"/>
      <c r="G103" s="5"/>
      <c r="H103" s="5">
        <v>9.7999999999999997E-3</v>
      </c>
      <c r="I103" s="5">
        <v>1.91</v>
      </c>
      <c r="J103" s="5" t="s">
        <v>98</v>
      </c>
      <c r="K103" s="5"/>
      <c r="L103" s="5">
        <v>55</v>
      </c>
      <c r="M103" s="7">
        <f t="shared" si="6"/>
        <v>1.9097999999999999</v>
      </c>
      <c r="N103" s="7" t="str">
        <f t="shared" si="7"/>
        <v>✓ 通過</v>
      </c>
      <c r="O103" s="7" t="s">
        <v>99</v>
      </c>
      <c r="P103" s="6"/>
      <c r="Q103" s="6"/>
    </row>
    <row r="104" spans="1:17" ht="27.6">
      <c r="A104" s="5" t="s">
        <v>310</v>
      </c>
      <c r="B104" s="5" t="s">
        <v>296</v>
      </c>
      <c r="C104" s="5" t="s">
        <v>311</v>
      </c>
      <c r="D104" s="5" t="s">
        <v>97</v>
      </c>
      <c r="E104" s="5">
        <v>3.27</v>
      </c>
      <c r="F104" s="5">
        <v>0</v>
      </c>
      <c r="G104" s="5">
        <v>2.29</v>
      </c>
      <c r="H104" s="5">
        <v>1.4E-2</v>
      </c>
      <c r="I104" s="5">
        <v>5.57</v>
      </c>
      <c r="J104" s="5"/>
      <c r="K104" s="5"/>
      <c r="L104" s="5">
        <v>55</v>
      </c>
      <c r="M104" s="7">
        <f t="shared" si="6"/>
        <v>5.5740000000000007</v>
      </c>
      <c r="N104" s="7" t="str">
        <f t="shared" si="7"/>
        <v>✓ 通過</v>
      </c>
      <c r="O104" s="7" t="s">
        <v>99</v>
      </c>
      <c r="P104" s="6"/>
      <c r="Q104" s="6"/>
    </row>
    <row r="105" spans="1:17" ht="27.6">
      <c r="A105" s="5" t="s">
        <v>312</v>
      </c>
      <c r="B105" s="5" t="s">
        <v>296</v>
      </c>
      <c r="C105" s="5" t="s">
        <v>313</v>
      </c>
      <c r="D105" s="5" t="s">
        <v>124</v>
      </c>
      <c r="E105" s="5"/>
      <c r="F105" s="5"/>
      <c r="G105" s="5"/>
      <c r="H105" s="5"/>
      <c r="I105" s="5">
        <v>5.57</v>
      </c>
      <c r="J105" s="5"/>
      <c r="K105" s="5"/>
      <c r="L105" s="5">
        <v>55</v>
      </c>
      <c r="M105" s="7" t="str">
        <f t="shared" si="6"/>
        <v/>
      </c>
      <c r="N105" s="7" t="str">
        <f t="shared" si="7"/>
        <v>只有總量（無法驗算）</v>
      </c>
      <c r="O105" s="7" t="s">
        <v>99</v>
      </c>
      <c r="P105" s="6"/>
      <c r="Q105" s="6"/>
    </row>
    <row r="106" spans="1:17" ht="27.6">
      <c r="A106" s="5" t="s">
        <v>314</v>
      </c>
      <c r="B106" s="5" t="s">
        <v>296</v>
      </c>
      <c r="C106" s="5" t="s">
        <v>315</v>
      </c>
      <c r="D106" s="5" t="s">
        <v>124</v>
      </c>
      <c r="E106" s="5"/>
      <c r="F106" s="5"/>
      <c r="G106" s="5"/>
      <c r="H106" s="5"/>
      <c r="I106" s="5">
        <v>7.24</v>
      </c>
      <c r="J106" s="5"/>
      <c r="K106" s="5"/>
      <c r="L106" s="5">
        <v>55</v>
      </c>
      <c r="M106" s="7" t="str">
        <f t="shared" si="6"/>
        <v/>
      </c>
      <c r="N106" s="7" t="str">
        <f t="shared" si="7"/>
        <v>只有總量（無法驗算）</v>
      </c>
      <c r="O106" s="7" t="s">
        <v>99</v>
      </c>
      <c r="P106" s="6"/>
      <c r="Q106" s="6"/>
    </row>
    <row r="107" spans="1:17" ht="27.6">
      <c r="A107" s="5" t="s">
        <v>316</v>
      </c>
      <c r="B107" s="5" t="s">
        <v>296</v>
      </c>
      <c r="C107" s="5" t="s">
        <v>317</v>
      </c>
      <c r="D107" s="5" t="s">
        <v>124</v>
      </c>
      <c r="E107" s="5"/>
      <c r="F107" s="5"/>
      <c r="G107" s="5"/>
      <c r="H107" s="5"/>
      <c r="I107" s="5">
        <v>8.36</v>
      </c>
      <c r="J107" s="5"/>
      <c r="K107" s="5"/>
      <c r="L107" s="5">
        <v>55</v>
      </c>
      <c r="M107" s="7" t="str">
        <f t="shared" si="6"/>
        <v/>
      </c>
      <c r="N107" s="7" t="str">
        <f t="shared" si="7"/>
        <v>只有總量（無法驗算）</v>
      </c>
      <c r="O107" s="7" t="s">
        <v>99</v>
      </c>
      <c r="P107" s="6"/>
      <c r="Q107" s="6"/>
    </row>
    <row r="108" spans="1:17" ht="27.6">
      <c r="A108" s="5" t="s">
        <v>318</v>
      </c>
      <c r="B108" s="5" t="s">
        <v>296</v>
      </c>
      <c r="C108" s="5" t="s">
        <v>319</v>
      </c>
      <c r="D108" s="5" t="s">
        <v>124</v>
      </c>
      <c r="E108" s="5"/>
      <c r="F108" s="5"/>
      <c r="G108" s="5"/>
      <c r="H108" s="5"/>
      <c r="I108" s="5">
        <v>9.4700000000000006</v>
      </c>
      <c r="J108" s="5"/>
      <c r="K108" s="5"/>
      <c r="L108" s="5">
        <v>55</v>
      </c>
      <c r="M108" s="7" t="str">
        <f t="shared" si="6"/>
        <v/>
      </c>
      <c r="N108" s="7" t="str">
        <f t="shared" si="7"/>
        <v>只有總量（無法驗算）</v>
      </c>
      <c r="O108" s="7" t="s">
        <v>99</v>
      </c>
      <c r="P108" s="6"/>
      <c r="Q108" s="6"/>
    </row>
    <row r="109" spans="1:17" ht="27.6">
      <c r="A109" s="5" t="s">
        <v>320</v>
      </c>
      <c r="B109" s="5" t="s">
        <v>296</v>
      </c>
      <c r="C109" s="5" t="s">
        <v>321</v>
      </c>
      <c r="D109" s="5" t="s">
        <v>97</v>
      </c>
      <c r="E109" s="5">
        <v>3.13</v>
      </c>
      <c r="F109" s="5">
        <v>0.25</v>
      </c>
      <c r="G109" s="5">
        <v>1.33</v>
      </c>
      <c r="H109" s="5">
        <v>0.01</v>
      </c>
      <c r="I109" s="5">
        <v>4.72</v>
      </c>
      <c r="J109" s="5"/>
      <c r="K109" s="5"/>
      <c r="L109" s="5">
        <v>55</v>
      </c>
      <c r="M109" s="7">
        <f t="shared" si="6"/>
        <v>4.72</v>
      </c>
      <c r="N109" s="7" t="str">
        <f t="shared" si="7"/>
        <v>✓ 通過</v>
      </c>
      <c r="O109" s="7" t="s">
        <v>99</v>
      </c>
      <c r="P109" s="6"/>
      <c r="Q109" s="6"/>
    </row>
    <row r="110" spans="1:17" ht="27.6">
      <c r="A110" s="5" t="s">
        <v>322</v>
      </c>
      <c r="B110" s="5" t="s">
        <v>296</v>
      </c>
      <c r="C110" s="5" t="s">
        <v>323</v>
      </c>
      <c r="D110" s="5" t="s">
        <v>124</v>
      </c>
      <c r="E110" s="5">
        <v>1.39</v>
      </c>
      <c r="F110" s="5"/>
      <c r="G110" s="5"/>
      <c r="H110" s="5"/>
      <c r="I110" s="5">
        <v>1.39</v>
      </c>
      <c r="J110" s="5" t="s">
        <v>129</v>
      </c>
      <c r="K110" s="5"/>
      <c r="L110" s="5">
        <v>55</v>
      </c>
      <c r="M110" s="7">
        <f t="shared" si="6"/>
        <v>1.39</v>
      </c>
      <c r="N110" s="7" t="str">
        <f t="shared" si="7"/>
        <v>✓ 通過</v>
      </c>
      <c r="O110" s="7" t="s">
        <v>99</v>
      </c>
      <c r="P110" s="6"/>
      <c r="Q110" s="6"/>
    </row>
    <row r="111" spans="1:17" ht="27.6">
      <c r="A111" s="5" t="s">
        <v>324</v>
      </c>
      <c r="B111" s="5" t="s">
        <v>296</v>
      </c>
      <c r="C111" s="5" t="s">
        <v>325</v>
      </c>
      <c r="D111" s="5" t="s">
        <v>97</v>
      </c>
      <c r="E111" s="5">
        <v>1.33</v>
      </c>
      <c r="F111" s="5"/>
      <c r="G111" s="5"/>
      <c r="H111" s="5">
        <v>8.9999999999999993E-3</v>
      </c>
      <c r="I111" s="5">
        <v>1.34</v>
      </c>
      <c r="J111" s="5" t="s">
        <v>98</v>
      </c>
      <c r="K111" s="5"/>
      <c r="L111" s="5">
        <v>55</v>
      </c>
      <c r="M111" s="7">
        <f t="shared" si="6"/>
        <v>1.339</v>
      </c>
      <c r="N111" s="7" t="str">
        <f t="shared" si="7"/>
        <v>✓ 通過</v>
      </c>
      <c r="O111" s="7" t="s">
        <v>99</v>
      </c>
      <c r="P111" s="6"/>
      <c r="Q111" s="6"/>
    </row>
    <row r="112" spans="1:17" ht="27.6">
      <c r="A112" s="5" t="s">
        <v>326</v>
      </c>
      <c r="B112" s="5" t="s">
        <v>296</v>
      </c>
      <c r="C112" s="5" t="s">
        <v>327</v>
      </c>
      <c r="D112" s="5" t="s">
        <v>97</v>
      </c>
      <c r="E112" s="5">
        <v>5.55</v>
      </c>
      <c r="F112" s="5">
        <v>0.01</v>
      </c>
      <c r="G112" s="5">
        <v>1.27</v>
      </c>
      <c r="H112" s="5">
        <v>0.36</v>
      </c>
      <c r="I112" s="5">
        <v>7.19</v>
      </c>
      <c r="J112" s="5"/>
      <c r="K112" s="5"/>
      <c r="L112" s="5">
        <v>55</v>
      </c>
      <c r="M112" s="7">
        <f t="shared" si="6"/>
        <v>7.19</v>
      </c>
      <c r="N112" s="7" t="str">
        <f t="shared" si="7"/>
        <v>✓ 通過</v>
      </c>
      <c r="O112" s="7" t="s">
        <v>99</v>
      </c>
      <c r="P112" s="6"/>
      <c r="Q112" s="6"/>
    </row>
    <row r="113" spans="1:17" ht="27.6">
      <c r="A113" s="5" t="s">
        <v>328</v>
      </c>
      <c r="B113" s="5" t="s">
        <v>296</v>
      </c>
      <c r="C113" s="5" t="s">
        <v>329</v>
      </c>
      <c r="D113" s="5" t="s">
        <v>172</v>
      </c>
      <c r="E113" s="5">
        <v>35.9</v>
      </c>
      <c r="F113" s="5">
        <v>2.67</v>
      </c>
      <c r="G113" s="5">
        <v>30.04</v>
      </c>
      <c r="H113" s="5">
        <v>4.76</v>
      </c>
      <c r="I113" s="5">
        <v>73.37</v>
      </c>
      <c r="J113" s="5"/>
      <c r="K113" s="5"/>
      <c r="L113" s="5">
        <v>55</v>
      </c>
      <c r="M113" s="7">
        <f t="shared" si="6"/>
        <v>73.37</v>
      </c>
      <c r="N113" s="7" t="str">
        <f t="shared" si="7"/>
        <v>✓ 通過</v>
      </c>
      <c r="O113" s="7" t="s">
        <v>99</v>
      </c>
      <c r="P113" s="6"/>
      <c r="Q113" s="6"/>
    </row>
    <row r="114" spans="1:17" ht="27.6">
      <c r="A114" s="5" t="s">
        <v>330</v>
      </c>
      <c r="B114" s="5" t="s">
        <v>296</v>
      </c>
      <c r="C114" s="5" t="s">
        <v>331</v>
      </c>
      <c r="D114" s="5" t="s">
        <v>124</v>
      </c>
      <c r="E114" s="5"/>
      <c r="F114" s="5"/>
      <c r="G114" s="5"/>
      <c r="H114" s="5"/>
      <c r="I114" s="5">
        <v>2.42</v>
      </c>
      <c r="J114" s="5"/>
      <c r="K114" s="5"/>
      <c r="L114" s="5">
        <v>55</v>
      </c>
      <c r="M114" s="7" t="str">
        <f t="shared" si="6"/>
        <v/>
      </c>
      <c r="N114" s="7" t="str">
        <f t="shared" si="7"/>
        <v>只有總量（無法驗算）</v>
      </c>
      <c r="O114" s="7" t="s">
        <v>99</v>
      </c>
      <c r="P114" s="6"/>
      <c r="Q114" s="6"/>
    </row>
    <row r="115" spans="1:17" ht="27.6">
      <c r="A115" s="5" t="s">
        <v>332</v>
      </c>
      <c r="B115" s="5" t="s">
        <v>296</v>
      </c>
      <c r="C115" s="5" t="s">
        <v>333</v>
      </c>
      <c r="D115" s="5" t="s">
        <v>97</v>
      </c>
      <c r="E115" s="5">
        <v>0.2</v>
      </c>
      <c r="F115" s="5"/>
      <c r="G115" s="5"/>
      <c r="H115" s="5">
        <v>8.0999999999999996E-3</v>
      </c>
      <c r="I115" s="5">
        <v>0.21</v>
      </c>
      <c r="J115" s="5" t="s">
        <v>98</v>
      </c>
      <c r="K115" s="5"/>
      <c r="L115" s="5">
        <v>55</v>
      </c>
      <c r="M115" s="7">
        <f t="shared" si="6"/>
        <v>0.20810000000000001</v>
      </c>
      <c r="N115" s="7" t="str">
        <f t="shared" si="7"/>
        <v>✓ 通過</v>
      </c>
      <c r="O115" s="7" t="s">
        <v>99</v>
      </c>
      <c r="P115" s="6"/>
      <c r="Q115" s="6"/>
    </row>
    <row r="116" spans="1:17" ht="27.6">
      <c r="A116" s="5" t="s">
        <v>334</v>
      </c>
      <c r="B116" s="5" t="s">
        <v>296</v>
      </c>
      <c r="C116" s="5" t="s">
        <v>335</v>
      </c>
      <c r="D116" s="5" t="s">
        <v>97</v>
      </c>
      <c r="E116" s="5">
        <v>0.32</v>
      </c>
      <c r="F116" s="5"/>
      <c r="G116" s="5"/>
      <c r="H116" s="5">
        <v>8.0999999999999996E-3</v>
      </c>
      <c r="I116" s="5">
        <v>0.33</v>
      </c>
      <c r="J116" s="5" t="s">
        <v>98</v>
      </c>
      <c r="K116" s="5"/>
      <c r="L116" s="5">
        <v>55</v>
      </c>
      <c r="M116" s="7">
        <f t="shared" si="6"/>
        <v>0.3281</v>
      </c>
      <c r="N116" s="7" t="str">
        <f t="shared" si="7"/>
        <v>✓ 通過</v>
      </c>
      <c r="O116" s="7" t="s">
        <v>99</v>
      </c>
      <c r="P116" s="6"/>
      <c r="Q116" s="6"/>
    </row>
    <row r="117" spans="1:17" ht="27.6">
      <c r="A117" s="5" t="s">
        <v>336</v>
      </c>
      <c r="B117" s="5" t="s">
        <v>296</v>
      </c>
      <c r="C117" s="5" t="s">
        <v>337</v>
      </c>
      <c r="D117" s="5" t="s">
        <v>97</v>
      </c>
      <c r="E117" s="5">
        <v>0.22</v>
      </c>
      <c r="F117" s="5"/>
      <c r="G117" s="5"/>
      <c r="H117" s="5">
        <v>8.0999999999999996E-3</v>
      </c>
      <c r="I117" s="5">
        <v>0.23</v>
      </c>
      <c r="J117" s="5" t="s">
        <v>98</v>
      </c>
      <c r="K117" s="5"/>
      <c r="L117" s="5">
        <v>55</v>
      </c>
      <c r="M117" s="7">
        <f t="shared" si="6"/>
        <v>0.2281</v>
      </c>
      <c r="N117" s="7" t="str">
        <f t="shared" si="7"/>
        <v>✓ 通過</v>
      </c>
      <c r="O117" s="7" t="s">
        <v>99</v>
      </c>
      <c r="P117" s="6"/>
      <c r="Q117" s="6"/>
    </row>
    <row r="118" spans="1:17" ht="27.6">
      <c r="A118" s="5" t="s">
        <v>338</v>
      </c>
      <c r="B118" s="5" t="s">
        <v>296</v>
      </c>
      <c r="C118" s="5" t="s">
        <v>339</v>
      </c>
      <c r="D118" s="5" t="s">
        <v>97</v>
      </c>
      <c r="E118" s="5">
        <v>0.35</v>
      </c>
      <c r="F118" s="5"/>
      <c r="G118" s="5"/>
      <c r="H118" s="5">
        <v>8.0999999999999996E-3</v>
      </c>
      <c r="I118" s="5">
        <v>0.36</v>
      </c>
      <c r="J118" s="5" t="s">
        <v>98</v>
      </c>
      <c r="K118" s="5"/>
      <c r="L118" s="5">
        <v>55</v>
      </c>
      <c r="M118" s="7">
        <f t="shared" si="6"/>
        <v>0.35809999999999997</v>
      </c>
      <c r="N118" s="7" t="str">
        <f t="shared" si="7"/>
        <v>✓ 通過</v>
      </c>
      <c r="O118" s="7" t="s">
        <v>99</v>
      </c>
      <c r="P118" s="6"/>
      <c r="Q118" s="6"/>
    </row>
    <row r="119" spans="1:17" ht="27.6">
      <c r="A119" s="5" t="s">
        <v>340</v>
      </c>
      <c r="B119" s="5" t="s">
        <v>296</v>
      </c>
      <c r="C119" s="5" t="s">
        <v>43</v>
      </c>
      <c r="D119" s="5" t="s">
        <v>97</v>
      </c>
      <c r="E119" s="5">
        <v>0.252</v>
      </c>
      <c r="F119" s="5"/>
      <c r="G119" s="5"/>
      <c r="H119" s="5">
        <v>0</v>
      </c>
      <c r="I119" s="5">
        <v>4.2000000000000003E-2</v>
      </c>
      <c r="J119" s="5" t="s">
        <v>98</v>
      </c>
      <c r="K119" s="5"/>
      <c r="L119" s="5">
        <v>55</v>
      </c>
      <c r="M119" s="7">
        <f t="shared" si="6"/>
        <v>0.252</v>
      </c>
      <c r="N119" s="7" t="str">
        <f t="shared" si="7"/>
        <v>⚠ 加總≠總量</v>
      </c>
      <c r="O119" s="7" t="s">
        <v>99</v>
      </c>
      <c r="P119" s="6"/>
      <c r="Q119" s="6"/>
    </row>
    <row r="120" spans="1:17" ht="27.6">
      <c r="A120" s="5" t="s">
        <v>341</v>
      </c>
      <c r="B120" s="5" t="s">
        <v>296</v>
      </c>
      <c r="C120" s="5" t="s">
        <v>342</v>
      </c>
      <c r="D120" s="5" t="s">
        <v>124</v>
      </c>
      <c r="E120" s="5">
        <v>3.3790000000000001E-2</v>
      </c>
      <c r="F120" s="5"/>
      <c r="G120" s="5"/>
      <c r="H120" s="5">
        <v>1E-3</v>
      </c>
      <c r="I120" s="5">
        <v>3.4000000000000002E-2</v>
      </c>
      <c r="J120" s="5" t="s">
        <v>98</v>
      </c>
      <c r="K120" s="5"/>
      <c r="L120" s="5">
        <v>55</v>
      </c>
      <c r="M120" s="7">
        <f t="shared" si="6"/>
        <v>3.4790000000000001E-2</v>
      </c>
      <c r="N120" s="7" t="str">
        <f t="shared" si="7"/>
        <v>✓ 通過</v>
      </c>
      <c r="O120" s="7" t="s">
        <v>99</v>
      </c>
      <c r="P120" s="6"/>
      <c r="Q120" s="6"/>
    </row>
    <row r="121" spans="1:17" ht="27.6">
      <c r="A121" s="5" t="s">
        <v>343</v>
      </c>
      <c r="B121" s="5" t="s">
        <v>296</v>
      </c>
      <c r="C121" s="5" t="s">
        <v>344</v>
      </c>
      <c r="D121" s="5" t="s">
        <v>124</v>
      </c>
      <c r="E121" s="5">
        <v>0.35460000000000003</v>
      </c>
      <c r="F121" s="5"/>
      <c r="G121" s="5"/>
      <c r="H121" s="5"/>
      <c r="I121" s="5">
        <v>0.35499999999999998</v>
      </c>
      <c r="J121" s="5" t="s">
        <v>129</v>
      </c>
      <c r="K121" s="5"/>
      <c r="L121" s="5">
        <v>55</v>
      </c>
      <c r="M121" s="7">
        <f t="shared" si="6"/>
        <v>0.35460000000000003</v>
      </c>
      <c r="N121" s="7" t="str">
        <f t="shared" si="7"/>
        <v>✓ 通過</v>
      </c>
      <c r="O121" s="7" t="s">
        <v>99</v>
      </c>
      <c r="P121" s="6"/>
      <c r="Q121" s="6"/>
    </row>
    <row r="122" spans="1:17" ht="27.6">
      <c r="A122" s="5" t="s">
        <v>345</v>
      </c>
      <c r="B122" s="5" t="s">
        <v>296</v>
      </c>
      <c r="C122" s="5" t="s">
        <v>346</v>
      </c>
      <c r="D122" s="5" t="s">
        <v>124</v>
      </c>
      <c r="E122" s="5">
        <v>0.99</v>
      </c>
      <c r="F122" s="5"/>
      <c r="G122" s="5"/>
      <c r="H122" s="5"/>
      <c r="I122" s="5">
        <v>0.99</v>
      </c>
      <c r="J122" s="5" t="s">
        <v>129</v>
      </c>
      <c r="K122" s="5"/>
      <c r="L122" s="5">
        <v>55</v>
      </c>
      <c r="M122" s="7">
        <f t="shared" si="6"/>
        <v>0.99</v>
      </c>
      <c r="N122" s="7" t="str">
        <f t="shared" si="7"/>
        <v>✓ 通過</v>
      </c>
      <c r="O122" s="7" t="s">
        <v>99</v>
      </c>
      <c r="P122" s="6"/>
      <c r="Q122" s="6"/>
    </row>
    <row r="123" spans="1:17" ht="27.6">
      <c r="A123" s="5" t="s">
        <v>347</v>
      </c>
      <c r="B123" s="5" t="s">
        <v>296</v>
      </c>
      <c r="C123" s="5" t="s">
        <v>348</v>
      </c>
      <c r="D123" s="5" t="s">
        <v>124</v>
      </c>
      <c r="E123" s="5">
        <v>9.91</v>
      </c>
      <c r="F123" s="5"/>
      <c r="G123" s="5"/>
      <c r="H123" s="5"/>
      <c r="I123" s="5">
        <v>9.91</v>
      </c>
      <c r="J123" s="5" t="s">
        <v>129</v>
      </c>
      <c r="K123" s="5"/>
      <c r="L123" s="5">
        <v>55</v>
      </c>
      <c r="M123" s="7">
        <f t="shared" si="6"/>
        <v>9.91</v>
      </c>
      <c r="N123" s="7" t="str">
        <f t="shared" si="7"/>
        <v>✓ 通過</v>
      </c>
      <c r="O123" s="7" t="s">
        <v>99</v>
      </c>
      <c r="P123" s="6"/>
      <c r="Q123" s="6"/>
    </row>
    <row r="124" spans="1:17" ht="27.6">
      <c r="A124" s="5" t="s">
        <v>349</v>
      </c>
      <c r="B124" s="5" t="s">
        <v>296</v>
      </c>
      <c r="C124" s="5" t="s">
        <v>350</v>
      </c>
      <c r="D124" s="5" t="s">
        <v>124</v>
      </c>
      <c r="E124" s="5">
        <v>2.8860000000000001</v>
      </c>
      <c r="F124" s="5"/>
      <c r="G124" s="5"/>
      <c r="H124" s="5">
        <v>8.0000000000000002E-3</v>
      </c>
      <c r="I124" s="5">
        <v>2.89</v>
      </c>
      <c r="J124" s="5" t="s">
        <v>98</v>
      </c>
      <c r="K124" s="5"/>
      <c r="L124" s="5">
        <v>55</v>
      </c>
      <c r="M124" s="7">
        <f t="shared" si="6"/>
        <v>2.8940000000000001</v>
      </c>
      <c r="N124" s="7" t="str">
        <f t="shared" si="7"/>
        <v>✓ 通過</v>
      </c>
      <c r="O124" s="7" t="s">
        <v>99</v>
      </c>
      <c r="P124" s="6"/>
      <c r="Q124" s="6"/>
    </row>
  </sheetData>
  <autoFilter ref="A4:Q124" xr:uid="{00000000-0009-0000-0000-000002000000}"/>
  <mergeCells count="1">
    <mergeCell ref="A2:Q2"/>
  </mergeCells>
  <phoneticPr fontId="5" type="noConversion"/>
  <conditionalFormatting sqref="N5:N124">
    <cfRule type="expression" dxfId="15" priority="1">
      <formula>LEFT(N5,1)="⚠"</formula>
    </cfRule>
  </conditionalFormatting>
  <conditionalFormatting sqref="O5:O124">
    <cfRule type="expression" dxfId="14" priority="2">
      <formula>O5&lt;&gt;"一致"</formula>
    </cfRule>
  </conditionalFormatting>
  <dataValidations count="1">
    <dataValidation type="list" allowBlank="1" sqref="P5:P124" xr:uid="{00000000-0002-0000-0200-000000000000}">
      <formula1>"✓ 正確,✗ 有誤,? 不確定"</formula1>
    </dataValidation>
  </dataValidation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0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/>
  <cols>
    <col min="1" max="1" width="15" customWidth="1"/>
    <col min="2" max="2" width="34" customWidth="1"/>
    <col min="3" max="3" width="18" customWidth="1"/>
    <col min="4" max="4" width="10" customWidth="1"/>
    <col min="5" max="5" width="22" customWidth="1"/>
    <col min="6" max="6" width="10" customWidth="1"/>
    <col min="7" max="7" width="11" customWidth="1"/>
    <col min="8" max="9" width="8" customWidth="1"/>
    <col min="10" max="10" width="12" customWidth="1"/>
    <col min="11" max="11" width="10" customWidth="1"/>
    <col min="12" max="12" width="14" customWidth="1"/>
    <col min="13" max="16" width="9" customWidth="1"/>
    <col min="17" max="17" width="16" customWidth="1"/>
    <col min="18" max="18" width="22" customWidth="1"/>
    <col min="19" max="19" width="11" customWidth="1"/>
    <col min="20" max="20" width="24" customWidth="1"/>
  </cols>
  <sheetData>
    <row r="1" spans="1:20" ht="18">
      <c r="A1" s="1" t="s">
        <v>351</v>
      </c>
    </row>
    <row r="2" spans="1:20" ht="48" customHeight="1">
      <c r="A2" s="9" t="s">
        <v>352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4" spans="1:20" ht="42" customHeight="1">
      <c r="A4" s="4" t="s">
        <v>78</v>
      </c>
      <c r="B4" s="4" t="s">
        <v>353</v>
      </c>
      <c r="C4" s="4" t="s">
        <v>354</v>
      </c>
      <c r="D4" s="4" t="s">
        <v>355</v>
      </c>
      <c r="E4" s="4" t="s">
        <v>356</v>
      </c>
      <c r="F4" s="4" t="s">
        <v>357</v>
      </c>
      <c r="G4" s="4" t="s">
        <v>358</v>
      </c>
      <c r="H4" s="4" t="s">
        <v>359</v>
      </c>
      <c r="I4" s="4" t="s">
        <v>360</v>
      </c>
      <c r="J4" s="4" t="s">
        <v>361</v>
      </c>
      <c r="K4" s="4" t="s">
        <v>362</v>
      </c>
      <c r="L4" s="4" t="s">
        <v>363</v>
      </c>
      <c r="M4" s="4" t="s">
        <v>89</v>
      </c>
      <c r="N4" s="4" t="s">
        <v>364</v>
      </c>
      <c r="O4" s="4" t="s">
        <v>365</v>
      </c>
      <c r="P4" s="4" t="s">
        <v>366</v>
      </c>
      <c r="Q4" s="4" t="s">
        <v>91</v>
      </c>
      <c r="R4" s="4" t="s">
        <v>92</v>
      </c>
      <c r="S4" s="4" t="s">
        <v>93</v>
      </c>
      <c r="T4" s="4" t="s">
        <v>33</v>
      </c>
    </row>
    <row r="5" spans="1:20" ht="27.6">
      <c r="A5" s="5" t="s">
        <v>367</v>
      </c>
      <c r="B5" s="8" t="s">
        <v>368</v>
      </c>
      <c r="C5" s="5" t="s">
        <v>369</v>
      </c>
      <c r="D5" s="5">
        <v>9.0500000000000007</v>
      </c>
      <c r="E5" s="5" t="s">
        <v>370</v>
      </c>
      <c r="F5" s="5">
        <v>19.649999999999999</v>
      </c>
      <c r="G5" s="5">
        <v>28.7</v>
      </c>
      <c r="H5" s="5">
        <v>0</v>
      </c>
      <c r="I5" s="5">
        <v>1</v>
      </c>
      <c r="J5" s="5">
        <v>19.649999999999999</v>
      </c>
      <c r="K5" s="5">
        <v>0</v>
      </c>
      <c r="L5" s="5" t="s">
        <v>367</v>
      </c>
      <c r="M5" s="5">
        <v>56</v>
      </c>
      <c r="N5" s="7">
        <f t="shared" ref="N5:N10" si="0">D5+F5</f>
        <v>28.7</v>
      </c>
      <c r="O5" s="7">
        <f t="shared" ref="O5:O10" si="1">D5*H5+F5*I5</f>
        <v>19.649999999999999</v>
      </c>
      <c r="P5" s="7">
        <f t="shared" ref="P5:P10" si="2">IFERROR((G5+J5)-(INDEX($G$5:$G$10,MATCH(L5,$A$5:$A$10,0))+INDEX($J$5:$J$10,MATCH(L5,$A$5:$A$10,0))),"無基準")</f>
        <v>0</v>
      </c>
      <c r="Q5" s="7" t="str">
        <f t="shared" ref="Q5:Q10" si="3">IF(ISNUMBER(P5),IF(AND(ABS(N5-G5)&lt;=0.02,ABS(O5-J5)&lt;=0.02,ABS(P5-K5)&lt;=0.02),"✓ 通過","⚠ "&amp;IF(ABS(N5-G5)&gt;0.02,"新建不符 ","")&amp;IF(ABS(O5-J5)&gt;0.02,"更新不符 ","")&amp;IF(ABS(P5-K5)&gt;0.02,"減碳量不符","")),"⚠ 找不到基準")</f>
        <v>✓ 通過</v>
      </c>
      <c r="R5" s="7" t="s">
        <v>99</v>
      </c>
      <c r="S5" s="6"/>
      <c r="T5" s="6"/>
    </row>
    <row r="6" spans="1:20" ht="27.6">
      <c r="A6" s="5" t="s">
        <v>371</v>
      </c>
      <c r="B6" s="5" t="s">
        <v>372</v>
      </c>
      <c r="C6" s="5" t="s">
        <v>373</v>
      </c>
      <c r="D6" s="5">
        <v>0</v>
      </c>
      <c r="E6" s="5" t="s">
        <v>374</v>
      </c>
      <c r="F6" s="5">
        <v>12.79</v>
      </c>
      <c r="G6" s="5">
        <v>12.79</v>
      </c>
      <c r="H6" s="5">
        <v>0</v>
      </c>
      <c r="I6" s="5">
        <v>1</v>
      </c>
      <c r="J6" s="5">
        <v>12.79</v>
      </c>
      <c r="K6" s="5">
        <v>-22.77</v>
      </c>
      <c r="L6" s="5" t="s">
        <v>367</v>
      </c>
      <c r="M6" s="5">
        <v>56</v>
      </c>
      <c r="N6" s="7">
        <f t="shared" si="0"/>
        <v>12.79</v>
      </c>
      <c r="O6" s="7">
        <f t="shared" si="1"/>
        <v>12.79</v>
      </c>
      <c r="P6" s="7">
        <f t="shared" si="2"/>
        <v>-22.769999999999996</v>
      </c>
      <c r="Q6" s="7" t="str">
        <f t="shared" si="3"/>
        <v>✓ 通過</v>
      </c>
      <c r="R6" s="7" t="s">
        <v>99</v>
      </c>
      <c r="S6" s="6"/>
      <c r="T6" s="6"/>
    </row>
    <row r="7" spans="1:20">
      <c r="A7" s="5" t="s">
        <v>375</v>
      </c>
      <c r="B7" s="5" t="s">
        <v>376</v>
      </c>
      <c r="C7" s="5" t="s">
        <v>369</v>
      </c>
      <c r="D7" s="5">
        <v>9.0500000000000007</v>
      </c>
      <c r="E7" s="5" t="s">
        <v>377</v>
      </c>
      <c r="F7" s="5">
        <v>5.7240000000000002</v>
      </c>
      <c r="G7" s="5">
        <v>14.773999999999999</v>
      </c>
      <c r="H7" s="5">
        <v>0</v>
      </c>
      <c r="I7" s="5">
        <v>3</v>
      </c>
      <c r="J7" s="5">
        <v>17.172000000000001</v>
      </c>
      <c r="K7" s="5">
        <v>-16.420000000000002</v>
      </c>
      <c r="L7" s="5" t="s">
        <v>367</v>
      </c>
      <c r="M7" s="5">
        <v>56</v>
      </c>
      <c r="N7" s="7">
        <f t="shared" si="0"/>
        <v>14.774000000000001</v>
      </c>
      <c r="O7" s="7">
        <f t="shared" si="1"/>
        <v>17.172000000000001</v>
      </c>
      <c r="P7" s="7">
        <f t="shared" si="2"/>
        <v>-16.403999999999996</v>
      </c>
      <c r="Q7" s="7" t="str">
        <f t="shared" si="3"/>
        <v>✓ 通過</v>
      </c>
      <c r="R7" s="7" t="s">
        <v>99</v>
      </c>
      <c r="S7" s="6"/>
      <c r="T7" s="6"/>
    </row>
    <row r="8" spans="1:20" ht="27.6">
      <c r="A8" s="5" t="s">
        <v>378</v>
      </c>
      <c r="B8" s="5" t="s">
        <v>379</v>
      </c>
      <c r="C8" s="5" t="s">
        <v>373</v>
      </c>
      <c r="D8" s="5">
        <v>0</v>
      </c>
      <c r="E8" s="5" t="s">
        <v>370</v>
      </c>
      <c r="F8" s="5">
        <v>19.649999999999999</v>
      </c>
      <c r="G8" s="5">
        <v>19.649999999999999</v>
      </c>
      <c r="H8" s="5">
        <v>0</v>
      </c>
      <c r="I8" s="5">
        <v>1</v>
      </c>
      <c r="J8" s="5">
        <v>19.649999999999999</v>
      </c>
      <c r="K8" s="5">
        <v>-9.0500000000000007</v>
      </c>
      <c r="L8" s="5" t="s">
        <v>367</v>
      </c>
      <c r="M8" s="5">
        <v>56</v>
      </c>
      <c r="N8" s="7">
        <f t="shared" si="0"/>
        <v>19.649999999999999</v>
      </c>
      <c r="O8" s="7">
        <f t="shared" si="1"/>
        <v>19.649999999999999</v>
      </c>
      <c r="P8" s="7">
        <f t="shared" si="2"/>
        <v>-9.0499999999999972</v>
      </c>
      <c r="Q8" s="7" t="str">
        <f t="shared" si="3"/>
        <v>✓ 通過</v>
      </c>
      <c r="R8" s="7" t="s">
        <v>99</v>
      </c>
      <c r="S8" s="6"/>
      <c r="T8" s="6"/>
    </row>
    <row r="9" spans="1:20" ht="27.6">
      <c r="A9" s="5" t="s">
        <v>380</v>
      </c>
      <c r="B9" s="5" t="s">
        <v>381</v>
      </c>
      <c r="C9" s="5" t="s">
        <v>373</v>
      </c>
      <c r="D9" s="5">
        <v>0</v>
      </c>
      <c r="E9" s="5" t="s">
        <v>377</v>
      </c>
      <c r="F9" s="5">
        <v>5.7240000000000002</v>
      </c>
      <c r="G9" s="5">
        <v>5.7240000000000002</v>
      </c>
      <c r="H9" s="5">
        <v>0</v>
      </c>
      <c r="I9" s="5">
        <v>3</v>
      </c>
      <c r="J9" s="5">
        <v>17.172000000000001</v>
      </c>
      <c r="K9" s="5">
        <v>-25.51</v>
      </c>
      <c r="L9" s="5" t="s">
        <v>367</v>
      </c>
      <c r="M9" s="5">
        <v>56</v>
      </c>
      <c r="N9" s="7">
        <f t="shared" si="0"/>
        <v>5.7240000000000002</v>
      </c>
      <c r="O9" s="7">
        <f t="shared" si="1"/>
        <v>17.172000000000001</v>
      </c>
      <c r="P9" s="7">
        <f t="shared" si="2"/>
        <v>-25.453999999999994</v>
      </c>
      <c r="Q9" s="7" t="str">
        <f t="shared" si="3"/>
        <v>⚠ 減碳量不符</v>
      </c>
      <c r="R9" s="7" t="s">
        <v>99</v>
      </c>
      <c r="S9" s="6"/>
      <c r="T9" s="6"/>
    </row>
    <row r="10" spans="1:20" ht="27.6">
      <c r="A10" s="5" t="s">
        <v>382</v>
      </c>
      <c r="B10" s="5" t="s">
        <v>383</v>
      </c>
      <c r="C10" s="5" t="s">
        <v>373</v>
      </c>
      <c r="D10" s="5">
        <v>0</v>
      </c>
      <c r="E10" s="5" t="s">
        <v>377</v>
      </c>
      <c r="F10" s="5">
        <v>5.7240000000000002</v>
      </c>
      <c r="G10" s="5">
        <v>5.7240000000000002</v>
      </c>
      <c r="H10" s="5">
        <v>0</v>
      </c>
      <c r="I10" s="5">
        <v>3</v>
      </c>
      <c r="J10" s="5">
        <v>17.172000000000001</v>
      </c>
      <c r="K10" s="5">
        <v>-25.51</v>
      </c>
      <c r="L10" s="5" t="s">
        <v>367</v>
      </c>
      <c r="M10" s="5">
        <v>56</v>
      </c>
      <c r="N10" s="7">
        <f t="shared" si="0"/>
        <v>5.7240000000000002</v>
      </c>
      <c r="O10" s="7">
        <f t="shared" si="1"/>
        <v>17.172000000000001</v>
      </c>
      <c r="P10" s="7">
        <f t="shared" si="2"/>
        <v>-25.453999999999994</v>
      </c>
      <c r="Q10" s="7" t="str">
        <f t="shared" si="3"/>
        <v>⚠ 減碳量不符</v>
      </c>
      <c r="R10" s="7" t="s">
        <v>99</v>
      </c>
      <c r="S10" s="6"/>
      <c r="T10" s="6"/>
    </row>
  </sheetData>
  <autoFilter ref="A4:T10" xr:uid="{00000000-0009-0000-0000-000003000000}"/>
  <mergeCells count="1">
    <mergeCell ref="A2:T2"/>
  </mergeCells>
  <phoneticPr fontId="5" type="noConversion"/>
  <conditionalFormatting sqref="Q5:Q10">
    <cfRule type="expression" dxfId="13" priority="1">
      <formula>LEFT(Q5,1)="⚠"</formula>
    </cfRule>
  </conditionalFormatting>
  <conditionalFormatting sqref="R5:R10">
    <cfRule type="expression" dxfId="12" priority="2">
      <formula>R5&lt;&gt;"一致"</formula>
    </cfRule>
  </conditionalFormatting>
  <dataValidations count="1">
    <dataValidation type="list" allowBlank="1" sqref="S5:S10" xr:uid="{00000000-0002-0000-0300-000000000000}">
      <formula1>"✓ 正確,✗ 有誤,? 不確定"</formula1>
    </dataValidation>
  </dataValidations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44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/>
  <cols>
    <col min="1" max="1" width="15" customWidth="1"/>
    <col min="2" max="2" width="18" customWidth="1"/>
    <col min="3" max="3" width="34" customWidth="1"/>
    <col min="4" max="4" width="10" customWidth="1"/>
    <col min="5" max="5" width="22" customWidth="1"/>
    <col min="6" max="6" width="10" customWidth="1"/>
    <col min="7" max="7" width="11" customWidth="1"/>
    <col min="8" max="9" width="8" customWidth="1"/>
    <col min="10" max="10" width="12" customWidth="1"/>
    <col min="11" max="11" width="10" customWidth="1"/>
    <col min="12" max="12" width="14" customWidth="1"/>
    <col min="13" max="16" width="9" customWidth="1"/>
    <col min="17" max="17" width="16" customWidth="1"/>
    <col min="18" max="18" width="22" customWidth="1"/>
    <col min="19" max="19" width="11" customWidth="1"/>
    <col min="20" max="20" width="24" customWidth="1"/>
  </cols>
  <sheetData>
    <row r="1" spans="1:20" ht="18">
      <c r="A1" s="1" t="s">
        <v>384</v>
      </c>
    </row>
    <row r="2" spans="1:20" ht="48" customHeight="1">
      <c r="A2" s="9" t="s">
        <v>385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4" spans="1:20" ht="42" customHeight="1">
      <c r="A4" s="4" t="s">
        <v>78</v>
      </c>
      <c r="B4" s="4" t="s">
        <v>386</v>
      </c>
      <c r="C4" s="4" t="s">
        <v>353</v>
      </c>
      <c r="D4" s="4" t="s">
        <v>387</v>
      </c>
      <c r="E4" s="4" t="s">
        <v>388</v>
      </c>
      <c r="F4" s="4" t="s">
        <v>389</v>
      </c>
      <c r="G4" s="4" t="s">
        <v>390</v>
      </c>
      <c r="H4" s="4" t="s">
        <v>359</v>
      </c>
      <c r="I4" s="4" t="s">
        <v>360</v>
      </c>
      <c r="J4" s="4" t="s">
        <v>391</v>
      </c>
      <c r="K4" s="4" t="s">
        <v>392</v>
      </c>
      <c r="L4" s="4" t="s">
        <v>363</v>
      </c>
      <c r="M4" s="4" t="s">
        <v>89</v>
      </c>
      <c r="N4" s="4" t="s">
        <v>364</v>
      </c>
      <c r="O4" s="4" t="s">
        <v>365</v>
      </c>
      <c r="P4" s="4" t="s">
        <v>366</v>
      </c>
      <c r="Q4" s="4" t="s">
        <v>91</v>
      </c>
      <c r="R4" s="4" t="s">
        <v>92</v>
      </c>
      <c r="S4" s="4" t="s">
        <v>93</v>
      </c>
      <c r="T4" s="4" t="s">
        <v>33</v>
      </c>
    </row>
    <row r="5" spans="1:20" ht="27.6">
      <c r="A5" s="5" t="s">
        <v>393</v>
      </c>
      <c r="B5" s="5" t="s">
        <v>394</v>
      </c>
      <c r="C5" s="8" t="s">
        <v>395</v>
      </c>
      <c r="D5" s="5">
        <v>12.3</v>
      </c>
      <c r="E5" s="5" t="s">
        <v>396</v>
      </c>
      <c r="F5" s="5">
        <v>24.84</v>
      </c>
      <c r="G5" s="5">
        <v>37.14</v>
      </c>
      <c r="H5" s="5">
        <v>0</v>
      </c>
      <c r="I5" s="5">
        <v>0</v>
      </c>
      <c r="J5" s="5">
        <v>0</v>
      </c>
      <c r="K5" s="5">
        <v>0</v>
      </c>
      <c r="L5" s="5" t="s">
        <v>393</v>
      </c>
      <c r="M5" s="5">
        <v>56</v>
      </c>
      <c r="N5" s="7">
        <f t="shared" ref="N5:N44" si="0">D5+F5</f>
        <v>37.14</v>
      </c>
      <c r="O5" s="7">
        <f t="shared" ref="O5:O44" si="1">D5*H5+F5*I5</f>
        <v>0</v>
      </c>
      <c r="P5" s="7">
        <f t="shared" ref="P5:P44" si="2">IFERROR((G5+J5)-(INDEX($G$5:$G$44,MATCH(L5,$A$5:$A$44,0))+INDEX($J$5:$J$44,MATCH(L5,$A$5:$A$44,0))),"無基準")</f>
        <v>0</v>
      </c>
      <c r="Q5" s="7" t="str">
        <f t="shared" ref="Q5:Q44" si="3">IF(ISNUMBER(P5),IF(AND(ABS(N5-G5)&lt;=0.02,ABS(O5-J5)&lt;=0.02,ABS(P5-K5)&lt;=0.02),"✓ 通過","⚠ "&amp;IF(ABS(N5-G5)&gt;0.02,"新建不符 ","")&amp;IF(ABS(O5-J5)&gt;0.02,"更新不符 ","")&amp;IF(ABS(P5-K5)&gt;0.02,"減碳量不符","")),"⚠ 找不到基準")</f>
        <v>✓ 通過</v>
      </c>
      <c r="R5" s="7" t="s">
        <v>99</v>
      </c>
      <c r="S5" s="6"/>
      <c r="T5" s="6"/>
    </row>
    <row r="6" spans="1:20" ht="27.6">
      <c r="A6" s="5" t="s">
        <v>397</v>
      </c>
      <c r="B6" s="5" t="s">
        <v>394</v>
      </c>
      <c r="C6" s="5" t="s">
        <v>398</v>
      </c>
      <c r="D6" s="5">
        <v>12.3</v>
      </c>
      <c r="E6" s="5" t="s">
        <v>399</v>
      </c>
      <c r="F6" s="5">
        <v>11.74</v>
      </c>
      <c r="G6" s="5">
        <v>24.04</v>
      </c>
      <c r="H6" s="5">
        <v>0</v>
      </c>
      <c r="I6" s="5">
        <v>0</v>
      </c>
      <c r="J6" s="5">
        <v>0</v>
      </c>
      <c r="K6" s="5">
        <v>-13.1</v>
      </c>
      <c r="L6" s="5" t="s">
        <v>393</v>
      </c>
      <c r="M6" s="5">
        <v>56</v>
      </c>
      <c r="N6" s="7">
        <f t="shared" si="0"/>
        <v>24.04</v>
      </c>
      <c r="O6" s="7">
        <f t="shared" si="1"/>
        <v>0</v>
      </c>
      <c r="P6" s="7">
        <f t="shared" si="2"/>
        <v>-13.100000000000001</v>
      </c>
      <c r="Q6" s="7" t="str">
        <f t="shared" si="3"/>
        <v>✓ 通過</v>
      </c>
      <c r="R6" s="7" t="s">
        <v>99</v>
      </c>
      <c r="S6" s="6"/>
      <c r="T6" s="6"/>
    </row>
    <row r="7" spans="1:20" ht="27.6">
      <c r="A7" s="5" t="s">
        <v>400</v>
      </c>
      <c r="B7" s="5" t="s">
        <v>394</v>
      </c>
      <c r="C7" s="5" t="s">
        <v>401</v>
      </c>
      <c r="D7" s="5">
        <v>12.3</v>
      </c>
      <c r="E7" s="5" t="s">
        <v>402</v>
      </c>
      <c r="F7" s="5">
        <v>5.22</v>
      </c>
      <c r="G7" s="5">
        <v>17.52</v>
      </c>
      <c r="H7" s="5">
        <v>2</v>
      </c>
      <c r="I7" s="5">
        <v>2</v>
      </c>
      <c r="J7" s="5">
        <v>35.04</v>
      </c>
      <c r="K7" s="5">
        <v>15.42</v>
      </c>
      <c r="L7" s="5" t="s">
        <v>393</v>
      </c>
      <c r="M7" s="5">
        <v>56</v>
      </c>
      <c r="N7" s="7">
        <f t="shared" si="0"/>
        <v>17.52</v>
      </c>
      <c r="O7" s="7">
        <f t="shared" si="1"/>
        <v>35.04</v>
      </c>
      <c r="P7" s="7">
        <f t="shared" si="2"/>
        <v>15.420000000000002</v>
      </c>
      <c r="Q7" s="7" t="str">
        <f t="shared" si="3"/>
        <v>✓ 通過</v>
      </c>
      <c r="R7" s="7" t="s">
        <v>99</v>
      </c>
      <c r="S7" s="6"/>
      <c r="T7" s="6"/>
    </row>
    <row r="8" spans="1:20" ht="27.6">
      <c r="A8" s="5" t="s">
        <v>403</v>
      </c>
      <c r="B8" s="5" t="s">
        <v>404</v>
      </c>
      <c r="C8" s="8" t="s">
        <v>405</v>
      </c>
      <c r="D8" s="5">
        <v>16.399999999999999</v>
      </c>
      <c r="E8" s="5" t="s">
        <v>396</v>
      </c>
      <c r="F8" s="5">
        <v>24.84</v>
      </c>
      <c r="G8" s="5">
        <v>41.24</v>
      </c>
      <c r="H8" s="5">
        <v>0</v>
      </c>
      <c r="I8" s="5">
        <v>0</v>
      </c>
      <c r="J8" s="5">
        <v>0</v>
      </c>
      <c r="K8" s="5">
        <v>0</v>
      </c>
      <c r="L8" s="5" t="s">
        <v>403</v>
      </c>
      <c r="M8" s="5">
        <v>56</v>
      </c>
      <c r="N8" s="7">
        <f t="shared" si="0"/>
        <v>41.239999999999995</v>
      </c>
      <c r="O8" s="7">
        <f t="shared" si="1"/>
        <v>0</v>
      </c>
      <c r="P8" s="7">
        <f t="shared" si="2"/>
        <v>0</v>
      </c>
      <c r="Q8" s="7" t="str">
        <f t="shared" si="3"/>
        <v>✓ 通過</v>
      </c>
      <c r="R8" s="7" t="s">
        <v>99</v>
      </c>
      <c r="S8" s="6"/>
      <c r="T8" s="6"/>
    </row>
    <row r="9" spans="1:20" ht="27.6">
      <c r="A9" s="5" t="s">
        <v>406</v>
      </c>
      <c r="B9" s="5" t="s">
        <v>404</v>
      </c>
      <c r="C9" s="5" t="s">
        <v>407</v>
      </c>
      <c r="D9" s="5">
        <v>16.399999999999999</v>
      </c>
      <c r="E9" s="5" t="s">
        <v>399</v>
      </c>
      <c r="F9" s="5">
        <v>11.74</v>
      </c>
      <c r="G9" s="5">
        <v>28.14</v>
      </c>
      <c r="H9" s="5">
        <v>0</v>
      </c>
      <c r="I9" s="5">
        <v>0</v>
      </c>
      <c r="J9" s="5">
        <v>0</v>
      </c>
      <c r="K9" s="5">
        <v>-13.1</v>
      </c>
      <c r="L9" s="5" t="s">
        <v>403</v>
      </c>
      <c r="M9" s="5">
        <v>56</v>
      </c>
      <c r="N9" s="7">
        <f t="shared" si="0"/>
        <v>28.14</v>
      </c>
      <c r="O9" s="7">
        <f t="shared" si="1"/>
        <v>0</v>
      </c>
      <c r="P9" s="7">
        <f t="shared" si="2"/>
        <v>-13.100000000000001</v>
      </c>
      <c r="Q9" s="7" t="str">
        <f t="shared" si="3"/>
        <v>✓ 通過</v>
      </c>
      <c r="R9" s="7" t="s">
        <v>99</v>
      </c>
      <c r="S9" s="6"/>
      <c r="T9" s="6"/>
    </row>
    <row r="10" spans="1:20" ht="27.6">
      <c r="A10" s="5" t="s">
        <v>408</v>
      </c>
      <c r="B10" s="5" t="s">
        <v>404</v>
      </c>
      <c r="C10" s="5" t="s">
        <v>409</v>
      </c>
      <c r="D10" s="5">
        <v>16.399999999999999</v>
      </c>
      <c r="E10" s="5" t="s">
        <v>402</v>
      </c>
      <c r="F10" s="5">
        <v>5.22</v>
      </c>
      <c r="G10" s="5">
        <v>21.62</v>
      </c>
      <c r="H10" s="5">
        <v>2</v>
      </c>
      <c r="I10" s="5">
        <v>2</v>
      </c>
      <c r="J10" s="5">
        <v>43.24</v>
      </c>
      <c r="K10" s="5">
        <v>23.62</v>
      </c>
      <c r="L10" s="5" t="s">
        <v>403</v>
      </c>
      <c r="M10" s="5">
        <v>56</v>
      </c>
      <c r="N10" s="7">
        <f t="shared" si="0"/>
        <v>21.619999999999997</v>
      </c>
      <c r="O10" s="7">
        <f t="shared" si="1"/>
        <v>43.239999999999995</v>
      </c>
      <c r="P10" s="7">
        <f t="shared" si="2"/>
        <v>23.619999999999997</v>
      </c>
      <c r="Q10" s="7" t="str">
        <f t="shared" si="3"/>
        <v>✓ 通過</v>
      </c>
      <c r="R10" s="7" t="s">
        <v>99</v>
      </c>
      <c r="S10" s="6"/>
      <c r="T10" s="6"/>
    </row>
    <row r="11" spans="1:20" ht="27.6">
      <c r="A11" s="5" t="s">
        <v>410</v>
      </c>
      <c r="B11" s="5" t="s">
        <v>411</v>
      </c>
      <c r="C11" s="8" t="s">
        <v>412</v>
      </c>
      <c r="D11" s="5">
        <v>20.5</v>
      </c>
      <c r="E11" s="5" t="s">
        <v>396</v>
      </c>
      <c r="F11" s="5">
        <v>24.84</v>
      </c>
      <c r="G11" s="5">
        <v>45.34</v>
      </c>
      <c r="H11" s="5">
        <v>0</v>
      </c>
      <c r="I11" s="5">
        <v>0</v>
      </c>
      <c r="J11" s="5">
        <v>0</v>
      </c>
      <c r="K11" s="5">
        <v>0</v>
      </c>
      <c r="L11" s="5" t="s">
        <v>410</v>
      </c>
      <c r="M11" s="5">
        <v>56</v>
      </c>
      <c r="N11" s="7">
        <f t="shared" si="0"/>
        <v>45.34</v>
      </c>
      <c r="O11" s="7">
        <f t="shared" si="1"/>
        <v>0</v>
      </c>
      <c r="P11" s="7">
        <f t="shared" si="2"/>
        <v>0</v>
      </c>
      <c r="Q11" s="7" t="str">
        <f t="shared" si="3"/>
        <v>✓ 通過</v>
      </c>
      <c r="R11" s="7" t="s">
        <v>99</v>
      </c>
      <c r="S11" s="6"/>
      <c r="T11" s="6"/>
    </row>
    <row r="12" spans="1:20" ht="27.6">
      <c r="A12" s="5" t="s">
        <v>413</v>
      </c>
      <c r="B12" s="5" t="s">
        <v>411</v>
      </c>
      <c r="C12" s="5" t="s">
        <v>414</v>
      </c>
      <c r="D12" s="5">
        <v>20.5</v>
      </c>
      <c r="E12" s="5" t="s">
        <v>399</v>
      </c>
      <c r="F12" s="5">
        <v>11.74</v>
      </c>
      <c r="G12" s="5">
        <v>32.24</v>
      </c>
      <c r="H12" s="5">
        <v>0</v>
      </c>
      <c r="I12" s="5">
        <v>0</v>
      </c>
      <c r="J12" s="5">
        <v>0</v>
      </c>
      <c r="K12" s="5">
        <v>-13.1</v>
      </c>
      <c r="L12" s="5" t="s">
        <v>410</v>
      </c>
      <c r="M12" s="5">
        <v>56</v>
      </c>
      <c r="N12" s="7">
        <f t="shared" si="0"/>
        <v>32.24</v>
      </c>
      <c r="O12" s="7">
        <f t="shared" si="1"/>
        <v>0</v>
      </c>
      <c r="P12" s="7">
        <f t="shared" si="2"/>
        <v>-13.100000000000001</v>
      </c>
      <c r="Q12" s="7" t="str">
        <f t="shared" si="3"/>
        <v>✓ 通過</v>
      </c>
      <c r="R12" s="7" t="s">
        <v>99</v>
      </c>
      <c r="S12" s="6"/>
      <c r="T12" s="6"/>
    </row>
    <row r="13" spans="1:20" ht="27.6">
      <c r="A13" s="5" t="s">
        <v>415</v>
      </c>
      <c r="B13" s="5" t="s">
        <v>411</v>
      </c>
      <c r="C13" s="5" t="s">
        <v>416</v>
      </c>
      <c r="D13" s="5">
        <v>20.5</v>
      </c>
      <c r="E13" s="5" t="s">
        <v>402</v>
      </c>
      <c r="F13" s="5">
        <v>5.22</v>
      </c>
      <c r="G13" s="5">
        <v>25.72</v>
      </c>
      <c r="H13" s="5">
        <v>2</v>
      </c>
      <c r="I13" s="5">
        <v>2</v>
      </c>
      <c r="J13" s="5">
        <v>51.44</v>
      </c>
      <c r="K13" s="5">
        <v>31.82</v>
      </c>
      <c r="L13" s="5" t="s">
        <v>410</v>
      </c>
      <c r="M13" s="5">
        <v>56</v>
      </c>
      <c r="N13" s="7">
        <f t="shared" si="0"/>
        <v>25.72</v>
      </c>
      <c r="O13" s="7">
        <f t="shared" si="1"/>
        <v>51.44</v>
      </c>
      <c r="P13" s="7">
        <f t="shared" si="2"/>
        <v>31.819999999999993</v>
      </c>
      <c r="Q13" s="7" t="str">
        <f t="shared" si="3"/>
        <v>✓ 通過</v>
      </c>
      <c r="R13" s="7" t="s">
        <v>99</v>
      </c>
      <c r="S13" s="6"/>
      <c r="T13" s="6"/>
    </row>
    <row r="14" spans="1:20" ht="27.6">
      <c r="A14" s="5" t="s">
        <v>417</v>
      </c>
      <c r="B14" s="5" t="s">
        <v>418</v>
      </c>
      <c r="C14" s="8" t="s">
        <v>419</v>
      </c>
      <c r="D14" s="5">
        <v>24.6</v>
      </c>
      <c r="E14" s="5" t="s">
        <v>396</v>
      </c>
      <c r="F14" s="5">
        <v>24.84</v>
      </c>
      <c r="G14" s="5">
        <v>49.44</v>
      </c>
      <c r="H14" s="5">
        <v>0</v>
      </c>
      <c r="I14" s="5">
        <v>0</v>
      </c>
      <c r="J14" s="5">
        <v>0</v>
      </c>
      <c r="K14" s="5">
        <v>0</v>
      </c>
      <c r="L14" s="5" t="s">
        <v>417</v>
      </c>
      <c r="M14" s="5">
        <v>56</v>
      </c>
      <c r="N14" s="7">
        <f t="shared" si="0"/>
        <v>49.44</v>
      </c>
      <c r="O14" s="7">
        <f t="shared" si="1"/>
        <v>0</v>
      </c>
      <c r="P14" s="7">
        <f t="shared" si="2"/>
        <v>0</v>
      </c>
      <c r="Q14" s="7" t="str">
        <f t="shared" si="3"/>
        <v>✓ 通過</v>
      </c>
      <c r="R14" s="7" t="s">
        <v>99</v>
      </c>
      <c r="S14" s="6"/>
      <c r="T14" s="6"/>
    </row>
    <row r="15" spans="1:20" ht="27.6">
      <c r="A15" s="5" t="s">
        <v>420</v>
      </c>
      <c r="B15" s="5" t="s">
        <v>418</v>
      </c>
      <c r="C15" s="5" t="s">
        <v>421</v>
      </c>
      <c r="D15" s="5">
        <v>24.6</v>
      </c>
      <c r="E15" s="5" t="s">
        <v>399</v>
      </c>
      <c r="F15" s="5">
        <v>11.74</v>
      </c>
      <c r="G15" s="5">
        <v>36.340000000000003</v>
      </c>
      <c r="H15" s="5">
        <v>0</v>
      </c>
      <c r="I15" s="5">
        <v>0</v>
      </c>
      <c r="J15" s="5">
        <v>0</v>
      </c>
      <c r="K15" s="5">
        <v>-13.1</v>
      </c>
      <c r="L15" s="5" t="s">
        <v>417</v>
      </c>
      <c r="M15" s="5">
        <v>56</v>
      </c>
      <c r="N15" s="7">
        <f t="shared" si="0"/>
        <v>36.340000000000003</v>
      </c>
      <c r="O15" s="7">
        <f t="shared" si="1"/>
        <v>0</v>
      </c>
      <c r="P15" s="7">
        <f t="shared" si="2"/>
        <v>-13.099999999999994</v>
      </c>
      <c r="Q15" s="7" t="str">
        <f t="shared" si="3"/>
        <v>✓ 通過</v>
      </c>
      <c r="R15" s="7" t="s">
        <v>99</v>
      </c>
      <c r="S15" s="6"/>
      <c r="T15" s="6"/>
    </row>
    <row r="16" spans="1:20" ht="27.6">
      <c r="A16" s="5" t="s">
        <v>422</v>
      </c>
      <c r="B16" s="5" t="s">
        <v>418</v>
      </c>
      <c r="C16" s="5" t="s">
        <v>423</v>
      </c>
      <c r="D16" s="5">
        <v>24.6</v>
      </c>
      <c r="E16" s="5" t="s">
        <v>402</v>
      </c>
      <c r="F16" s="5">
        <v>5.22</v>
      </c>
      <c r="G16" s="5">
        <v>29.82</v>
      </c>
      <c r="H16" s="5">
        <v>2</v>
      </c>
      <c r="I16" s="5">
        <v>2</v>
      </c>
      <c r="J16" s="5">
        <v>59.64</v>
      </c>
      <c r="K16" s="5">
        <v>40.020000000000003</v>
      </c>
      <c r="L16" s="5" t="s">
        <v>417</v>
      </c>
      <c r="M16" s="5">
        <v>56</v>
      </c>
      <c r="N16" s="7">
        <f t="shared" si="0"/>
        <v>29.82</v>
      </c>
      <c r="O16" s="7">
        <f t="shared" si="1"/>
        <v>59.64</v>
      </c>
      <c r="P16" s="7">
        <f t="shared" si="2"/>
        <v>40.02000000000001</v>
      </c>
      <c r="Q16" s="7" t="str">
        <f t="shared" si="3"/>
        <v>✓ 通過</v>
      </c>
      <c r="R16" s="7" t="s">
        <v>99</v>
      </c>
      <c r="S16" s="6"/>
      <c r="T16" s="6"/>
    </row>
    <row r="17" spans="1:20" ht="27.6">
      <c r="A17" s="5" t="s">
        <v>424</v>
      </c>
      <c r="B17" s="5" t="s">
        <v>425</v>
      </c>
      <c r="C17" s="8" t="s">
        <v>426</v>
      </c>
      <c r="D17" s="5">
        <v>22.4</v>
      </c>
      <c r="E17" s="5" t="s">
        <v>396</v>
      </c>
      <c r="F17" s="5">
        <v>24.84</v>
      </c>
      <c r="G17" s="5">
        <v>47.24</v>
      </c>
      <c r="H17" s="5">
        <v>0</v>
      </c>
      <c r="I17" s="5">
        <v>0</v>
      </c>
      <c r="J17" s="5">
        <v>0</v>
      </c>
      <c r="K17" s="5">
        <v>0</v>
      </c>
      <c r="L17" s="5" t="s">
        <v>424</v>
      </c>
      <c r="M17" s="5">
        <v>56</v>
      </c>
      <c r="N17" s="7">
        <f t="shared" si="0"/>
        <v>47.239999999999995</v>
      </c>
      <c r="O17" s="7">
        <f t="shared" si="1"/>
        <v>0</v>
      </c>
      <c r="P17" s="7">
        <f t="shared" si="2"/>
        <v>0</v>
      </c>
      <c r="Q17" s="7" t="str">
        <f t="shared" si="3"/>
        <v>✓ 通過</v>
      </c>
      <c r="R17" s="7" t="s">
        <v>99</v>
      </c>
      <c r="S17" s="6"/>
      <c r="T17" s="6"/>
    </row>
    <row r="18" spans="1:20" ht="27.6">
      <c r="A18" s="5" t="s">
        <v>427</v>
      </c>
      <c r="B18" s="5" t="s">
        <v>425</v>
      </c>
      <c r="C18" s="5" t="s">
        <v>428</v>
      </c>
      <c r="D18" s="5">
        <v>22.4</v>
      </c>
      <c r="E18" s="5" t="s">
        <v>399</v>
      </c>
      <c r="F18" s="5">
        <v>11.74</v>
      </c>
      <c r="G18" s="5">
        <v>34.14</v>
      </c>
      <c r="H18" s="5">
        <v>0</v>
      </c>
      <c r="I18" s="5">
        <v>0</v>
      </c>
      <c r="J18" s="5">
        <v>0</v>
      </c>
      <c r="K18" s="5">
        <v>-13.1</v>
      </c>
      <c r="L18" s="5" t="s">
        <v>424</v>
      </c>
      <c r="M18" s="5">
        <v>56</v>
      </c>
      <c r="N18" s="7">
        <f t="shared" si="0"/>
        <v>34.14</v>
      </c>
      <c r="O18" s="7">
        <f t="shared" si="1"/>
        <v>0</v>
      </c>
      <c r="P18" s="7">
        <f t="shared" si="2"/>
        <v>-13.100000000000001</v>
      </c>
      <c r="Q18" s="7" t="str">
        <f t="shared" si="3"/>
        <v>✓ 通過</v>
      </c>
      <c r="R18" s="7" t="s">
        <v>99</v>
      </c>
      <c r="S18" s="6"/>
      <c r="T18" s="6"/>
    </row>
    <row r="19" spans="1:20" ht="27.6">
      <c r="A19" s="5" t="s">
        <v>429</v>
      </c>
      <c r="B19" s="5" t="s">
        <v>425</v>
      </c>
      <c r="C19" s="5" t="s">
        <v>430</v>
      </c>
      <c r="D19" s="5">
        <v>22.4</v>
      </c>
      <c r="E19" s="5" t="s">
        <v>402</v>
      </c>
      <c r="F19" s="5">
        <v>5.22</v>
      </c>
      <c r="G19" s="5">
        <v>27.62</v>
      </c>
      <c r="H19" s="5">
        <v>2</v>
      </c>
      <c r="I19" s="5">
        <v>2</v>
      </c>
      <c r="J19" s="5">
        <v>55.24</v>
      </c>
      <c r="K19" s="5">
        <v>35.619999999999997</v>
      </c>
      <c r="L19" s="5" t="s">
        <v>424</v>
      </c>
      <c r="M19" s="5">
        <v>56</v>
      </c>
      <c r="N19" s="7">
        <f t="shared" si="0"/>
        <v>27.619999999999997</v>
      </c>
      <c r="O19" s="7">
        <f t="shared" si="1"/>
        <v>55.239999999999995</v>
      </c>
      <c r="P19" s="7">
        <f t="shared" si="2"/>
        <v>35.619999999999997</v>
      </c>
      <c r="Q19" s="7" t="str">
        <f t="shared" si="3"/>
        <v>✓ 通過</v>
      </c>
      <c r="R19" s="7" t="s">
        <v>99</v>
      </c>
      <c r="S19" s="6"/>
      <c r="T19" s="6"/>
    </row>
    <row r="20" spans="1:20" ht="27.6">
      <c r="A20" s="5" t="s">
        <v>431</v>
      </c>
      <c r="B20" s="5" t="s">
        <v>432</v>
      </c>
      <c r="C20" s="8" t="s">
        <v>433</v>
      </c>
      <c r="D20" s="5">
        <v>28</v>
      </c>
      <c r="E20" s="5" t="s">
        <v>396</v>
      </c>
      <c r="F20" s="5">
        <v>24.84</v>
      </c>
      <c r="G20" s="5">
        <v>52.84</v>
      </c>
      <c r="H20" s="5">
        <v>0</v>
      </c>
      <c r="I20" s="5">
        <v>0</v>
      </c>
      <c r="J20" s="5">
        <v>0</v>
      </c>
      <c r="K20" s="5">
        <v>0</v>
      </c>
      <c r="L20" s="5" t="s">
        <v>431</v>
      </c>
      <c r="M20" s="5">
        <v>56</v>
      </c>
      <c r="N20" s="7">
        <f t="shared" si="0"/>
        <v>52.84</v>
      </c>
      <c r="O20" s="7">
        <f t="shared" si="1"/>
        <v>0</v>
      </c>
      <c r="P20" s="7">
        <f t="shared" si="2"/>
        <v>0</v>
      </c>
      <c r="Q20" s="7" t="str">
        <f t="shared" si="3"/>
        <v>✓ 通過</v>
      </c>
      <c r="R20" s="7" t="s">
        <v>99</v>
      </c>
      <c r="S20" s="6"/>
      <c r="T20" s="6"/>
    </row>
    <row r="21" spans="1:20" ht="27.6">
      <c r="A21" s="5" t="s">
        <v>434</v>
      </c>
      <c r="B21" s="5" t="s">
        <v>432</v>
      </c>
      <c r="C21" s="5" t="s">
        <v>435</v>
      </c>
      <c r="D21" s="5">
        <v>28</v>
      </c>
      <c r="E21" s="5" t="s">
        <v>399</v>
      </c>
      <c r="F21" s="5">
        <v>11.74</v>
      </c>
      <c r="G21" s="5">
        <v>39.74</v>
      </c>
      <c r="H21" s="5">
        <v>0</v>
      </c>
      <c r="I21" s="5">
        <v>0</v>
      </c>
      <c r="J21" s="5">
        <v>0</v>
      </c>
      <c r="K21" s="5">
        <v>-13.1</v>
      </c>
      <c r="L21" s="5" t="s">
        <v>431</v>
      </c>
      <c r="M21" s="5">
        <v>56</v>
      </c>
      <c r="N21" s="7">
        <f t="shared" si="0"/>
        <v>39.74</v>
      </c>
      <c r="O21" s="7">
        <f t="shared" si="1"/>
        <v>0</v>
      </c>
      <c r="P21" s="7">
        <f t="shared" si="2"/>
        <v>-13.100000000000001</v>
      </c>
      <c r="Q21" s="7" t="str">
        <f t="shared" si="3"/>
        <v>✓ 通過</v>
      </c>
      <c r="R21" s="7" t="s">
        <v>99</v>
      </c>
      <c r="S21" s="6"/>
      <c r="T21" s="6"/>
    </row>
    <row r="22" spans="1:20" ht="27.6">
      <c r="A22" s="5" t="s">
        <v>436</v>
      </c>
      <c r="B22" s="5" t="s">
        <v>432</v>
      </c>
      <c r="C22" s="5" t="s">
        <v>437</v>
      </c>
      <c r="D22" s="5">
        <v>28</v>
      </c>
      <c r="E22" s="5" t="s">
        <v>402</v>
      </c>
      <c r="F22" s="5">
        <v>5.22</v>
      </c>
      <c r="G22" s="5">
        <v>33.22</v>
      </c>
      <c r="H22" s="5">
        <v>2</v>
      </c>
      <c r="I22" s="5">
        <v>2</v>
      </c>
      <c r="J22" s="5">
        <v>66.44</v>
      </c>
      <c r="K22" s="5">
        <v>46.82</v>
      </c>
      <c r="L22" s="5" t="s">
        <v>431</v>
      </c>
      <c r="M22" s="5">
        <v>57</v>
      </c>
      <c r="N22" s="7">
        <f t="shared" si="0"/>
        <v>33.22</v>
      </c>
      <c r="O22" s="7">
        <f t="shared" si="1"/>
        <v>66.44</v>
      </c>
      <c r="P22" s="7">
        <f t="shared" si="2"/>
        <v>46.819999999999993</v>
      </c>
      <c r="Q22" s="7" t="str">
        <f t="shared" si="3"/>
        <v>✓ 通過</v>
      </c>
      <c r="R22" s="7" t="s">
        <v>99</v>
      </c>
      <c r="S22" s="6"/>
      <c r="T22" s="6"/>
    </row>
    <row r="23" spans="1:20" ht="27.6">
      <c r="A23" s="5" t="s">
        <v>438</v>
      </c>
      <c r="B23" s="5" t="s">
        <v>439</v>
      </c>
      <c r="C23" s="8" t="s">
        <v>440</v>
      </c>
      <c r="D23" s="5">
        <v>33.6</v>
      </c>
      <c r="E23" s="5" t="s">
        <v>396</v>
      </c>
      <c r="F23" s="5">
        <v>24.84</v>
      </c>
      <c r="G23" s="5">
        <v>58.44</v>
      </c>
      <c r="H23" s="5">
        <v>0</v>
      </c>
      <c r="I23" s="5">
        <v>0</v>
      </c>
      <c r="J23" s="5">
        <v>0</v>
      </c>
      <c r="K23" s="5">
        <v>0</v>
      </c>
      <c r="L23" s="5" t="s">
        <v>438</v>
      </c>
      <c r="M23" s="5">
        <v>57</v>
      </c>
      <c r="N23" s="7">
        <f t="shared" si="0"/>
        <v>58.44</v>
      </c>
      <c r="O23" s="7">
        <f t="shared" si="1"/>
        <v>0</v>
      </c>
      <c r="P23" s="7">
        <f t="shared" si="2"/>
        <v>0</v>
      </c>
      <c r="Q23" s="7" t="str">
        <f t="shared" si="3"/>
        <v>✓ 通過</v>
      </c>
      <c r="R23" s="7" t="s">
        <v>99</v>
      </c>
      <c r="S23" s="6"/>
      <c r="T23" s="6"/>
    </row>
    <row r="24" spans="1:20" ht="27.6">
      <c r="A24" s="5" t="s">
        <v>441</v>
      </c>
      <c r="B24" s="5" t="s">
        <v>439</v>
      </c>
      <c r="C24" s="5" t="s">
        <v>442</v>
      </c>
      <c r="D24" s="5">
        <v>33.6</v>
      </c>
      <c r="E24" s="5" t="s">
        <v>399</v>
      </c>
      <c r="F24" s="5">
        <v>11.74</v>
      </c>
      <c r="G24" s="5">
        <v>45.34</v>
      </c>
      <c r="H24" s="5">
        <v>0</v>
      </c>
      <c r="I24" s="5">
        <v>0</v>
      </c>
      <c r="J24" s="5">
        <v>0</v>
      </c>
      <c r="K24" s="5">
        <v>-13.1</v>
      </c>
      <c r="L24" s="5" t="s">
        <v>438</v>
      </c>
      <c r="M24" s="5">
        <v>57</v>
      </c>
      <c r="N24" s="7">
        <f t="shared" si="0"/>
        <v>45.34</v>
      </c>
      <c r="O24" s="7">
        <f t="shared" si="1"/>
        <v>0</v>
      </c>
      <c r="P24" s="7">
        <f t="shared" si="2"/>
        <v>-13.099999999999994</v>
      </c>
      <c r="Q24" s="7" t="str">
        <f t="shared" si="3"/>
        <v>✓ 通過</v>
      </c>
      <c r="R24" s="7" t="s">
        <v>99</v>
      </c>
      <c r="S24" s="6"/>
      <c r="T24" s="6"/>
    </row>
    <row r="25" spans="1:20" ht="27.6">
      <c r="A25" s="5" t="s">
        <v>443</v>
      </c>
      <c r="B25" s="5" t="s">
        <v>439</v>
      </c>
      <c r="C25" s="5" t="s">
        <v>444</v>
      </c>
      <c r="D25" s="5">
        <v>33.6</v>
      </c>
      <c r="E25" s="5" t="s">
        <v>402</v>
      </c>
      <c r="F25" s="5">
        <v>5.22</v>
      </c>
      <c r="G25" s="5">
        <v>38.82</v>
      </c>
      <c r="H25" s="5">
        <v>2</v>
      </c>
      <c r="I25" s="5">
        <v>2</v>
      </c>
      <c r="J25" s="5">
        <v>77.64</v>
      </c>
      <c r="K25" s="5">
        <v>58.02</v>
      </c>
      <c r="L25" s="5" t="s">
        <v>438</v>
      </c>
      <c r="M25" s="5">
        <v>57</v>
      </c>
      <c r="N25" s="7">
        <f t="shared" si="0"/>
        <v>38.82</v>
      </c>
      <c r="O25" s="7">
        <f t="shared" si="1"/>
        <v>77.64</v>
      </c>
      <c r="P25" s="7">
        <f t="shared" si="2"/>
        <v>58.02000000000001</v>
      </c>
      <c r="Q25" s="7" t="str">
        <f t="shared" si="3"/>
        <v>✓ 通過</v>
      </c>
      <c r="R25" s="7" t="s">
        <v>99</v>
      </c>
      <c r="S25" s="6"/>
      <c r="T25" s="6"/>
    </row>
    <row r="26" spans="1:20" ht="27.6">
      <c r="A26" s="5" t="s">
        <v>445</v>
      </c>
      <c r="B26" s="5" t="s">
        <v>446</v>
      </c>
      <c r="C26" s="8" t="s">
        <v>447</v>
      </c>
      <c r="D26" s="5">
        <v>16.8</v>
      </c>
      <c r="E26" s="5" t="s">
        <v>396</v>
      </c>
      <c r="F26" s="5">
        <v>24.84</v>
      </c>
      <c r="G26" s="5">
        <v>41.64</v>
      </c>
      <c r="H26" s="5">
        <v>0</v>
      </c>
      <c r="I26" s="5">
        <v>0</v>
      </c>
      <c r="J26" s="5">
        <v>0</v>
      </c>
      <c r="K26" s="5">
        <v>0</v>
      </c>
      <c r="L26" s="5" t="s">
        <v>445</v>
      </c>
      <c r="M26" s="5">
        <v>57</v>
      </c>
      <c r="N26" s="7">
        <f t="shared" si="0"/>
        <v>41.64</v>
      </c>
      <c r="O26" s="7">
        <f t="shared" si="1"/>
        <v>0</v>
      </c>
      <c r="P26" s="7">
        <f t="shared" si="2"/>
        <v>0</v>
      </c>
      <c r="Q26" s="7" t="str">
        <f t="shared" si="3"/>
        <v>✓ 通過</v>
      </c>
      <c r="R26" s="7" t="s">
        <v>99</v>
      </c>
      <c r="S26" s="6"/>
      <c r="T26" s="6"/>
    </row>
    <row r="27" spans="1:20" ht="27.6">
      <c r="A27" s="5" t="s">
        <v>448</v>
      </c>
      <c r="B27" s="5" t="s">
        <v>446</v>
      </c>
      <c r="C27" s="5" t="s">
        <v>449</v>
      </c>
      <c r="D27" s="5">
        <v>16.8</v>
      </c>
      <c r="E27" s="5" t="s">
        <v>399</v>
      </c>
      <c r="F27" s="5">
        <v>11.74</v>
      </c>
      <c r="G27" s="5">
        <v>28.54</v>
      </c>
      <c r="H27" s="5">
        <v>0</v>
      </c>
      <c r="I27" s="5">
        <v>0</v>
      </c>
      <c r="J27" s="5">
        <v>0</v>
      </c>
      <c r="K27" s="5">
        <v>-13.1</v>
      </c>
      <c r="L27" s="5" t="s">
        <v>445</v>
      </c>
      <c r="M27" s="5">
        <v>57</v>
      </c>
      <c r="N27" s="7">
        <f t="shared" si="0"/>
        <v>28.54</v>
      </c>
      <c r="O27" s="7">
        <f t="shared" si="1"/>
        <v>0</v>
      </c>
      <c r="P27" s="7">
        <f t="shared" si="2"/>
        <v>-13.100000000000001</v>
      </c>
      <c r="Q27" s="7" t="str">
        <f t="shared" si="3"/>
        <v>✓ 通過</v>
      </c>
      <c r="R27" s="7" t="s">
        <v>99</v>
      </c>
      <c r="S27" s="6"/>
      <c r="T27" s="6"/>
    </row>
    <row r="28" spans="1:20" ht="27.6">
      <c r="A28" s="5" t="s">
        <v>450</v>
      </c>
      <c r="B28" s="5" t="s">
        <v>446</v>
      </c>
      <c r="C28" s="5" t="s">
        <v>451</v>
      </c>
      <c r="D28" s="5">
        <v>16.8</v>
      </c>
      <c r="E28" s="5" t="s">
        <v>402</v>
      </c>
      <c r="F28" s="5">
        <v>5.22</v>
      </c>
      <c r="G28" s="5">
        <v>22.02</v>
      </c>
      <c r="H28" s="5">
        <v>2</v>
      </c>
      <c r="I28" s="5">
        <v>2</v>
      </c>
      <c r="J28" s="5">
        <v>44.04</v>
      </c>
      <c r="K28" s="5">
        <v>24.42</v>
      </c>
      <c r="L28" s="5" t="s">
        <v>445</v>
      </c>
      <c r="M28" s="5">
        <v>57</v>
      </c>
      <c r="N28" s="7">
        <f t="shared" si="0"/>
        <v>22.02</v>
      </c>
      <c r="O28" s="7">
        <f t="shared" si="1"/>
        <v>44.04</v>
      </c>
      <c r="P28" s="7">
        <f t="shared" si="2"/>
        <v>24.42</v>
      </c>
      <c r="Q28" s="7" t="str">
        <f t="shared" si="3"/>
        <v>✓ 通過</v>
      </c>
      <c r="R28" s="7" t="s">
        <v>99</v>
      </c>
      <c r="S28" s="6"/>
      <c r="T28" s="6"/>
    </row>
    <row r="29" spans="1:20" ht="27.6">
      <c r="A29" s="5" t="s">
        <v>452</v>
      </c>
      <c r="B29" s="5" t="s">
        <v>453</v>
      </c>
      <c r="C29" s="8" t="s">
        <v>454</v>
      </c>
      <c r="D29" s="5">
        <v>22.4</v>
      </c>
      <c r="E29" s="5" t="s">
        <v>396</v>
      </c>
      <c r="F29" s="5">
        <v>24.84</v>
      </c>
      <c r="G29" s="5">
        <v>47.24</v>
      </c>
      <c r="H29" s="5">
        <v>0</v>
      </c>
      <c r="I29" s="5">
        <v>0</v>
      </c>
      <c r="J29" s="5">
        <v>0</v>
      </c>
      <c r="K29" s="5">
        <v>0</v>
      </c>
      <c r="L29" s="5" t="s">
        <v>452</v>
      </c>
      <c r="M29" s="5">
        <v>57</v>
      </c>
      <c r="N29" s="7">
        <f t="shared" si="0"/>
        <v>47.239999999999995</v>
      </c>
      <c r="O29" s="7">
        <f t="shared" si="1"/>
        <v>0</v>
      </c>
      <c r="P29" s="7">
        <f t="shared" si="2"/>
        <v>0</v>
      </c>
      <c r="Q29" s="7" t="str">
        <f t="shared" si="3"/>
        <v>✓ 通過</v>
      </c>
      <c r="R29" s="7" t="s">
        <v>99</v>
      </c>
      <c r="S29" s="6"/>
      <c r="T29" s="6"/>
    </row>
    <row r="30" spans="1:20" ht="27.6">
      <c r="A30" s="5" t="s">
        <v>455</v>
      </c>
      <c r="B30" s="5" t="s">
        <v>453</v>
      </c>
      <c r="C30" s="5" t="s">
        <v>456</v>
      </c>
      <c r="D30" s="5">
        <v>22.4</v>
      </c>
      <c r="E30" s="5" t="s">
        <v>399</v>
      </c>
      <c r="F30" s="5">
        <v>11.74</v>
      </c>
      <c r="G30" s="5">
        <v>34.14</v>
      </c>
      <c r="H30" s="5">
        <v>0</v>
      </c>
      <c r="I30" s="5">
        <v>0</v>
      </c>
      <c r="J30" s="5">
        <v>0</v>
      </c>
      <c r="K30" s="5">
        <v>-13.1</v>
      </c>
      <c r="L30" s="5" t="s">
        <v>452</v>
      </c>
      <c r="M30" s="5">
        <v>57</v>
      </c>
      <c r="N30" s="7">
        <f t="shared" si="0"/>
        <v>34.14</v>
      </c>
      <c r="O30" s="7">
        <f t="shared" si="1"/>
        <v>0</v>
      </c>
      <c r="P30" s="7">
        <f t="shared" si="2"/>
        <v>-13.100000000000001</v>
      </c>
      <c r="Q30" s="7" t="str">
        <f t="shared" si="3"/>
        <v>✓ 通過</v>
      </c>
      <c r="R30" s="7" t="s">
        <v>99</v>
      </c>
      <c r="S30" s="6"/>
      <c r="T30" s="6"/>
    </row>
    <row r="31" spans="1:20" ht="27.6">
      <c r="A31" s="5" t="s">
        <v>457</v>
      </c>
      <c r="B31" s="5" t="s">
        <v>453</v>
      </c>
      <c r="C31" s="5" t="s">
        <v>458</v>
      </c>
      <c r="D31" s="5">
        <v>22.4</v>
      </c>
      <c r="E31" s="5" t="s">
        <v>402</v>
      </c>
      <c r="F31" s="5">
        <v>5.22</v>
      </c>
      <c r="G31" s="5">
        <v>27.62</v>
      </c>
      <c r="H31" s="5">
        <v>2</v>
      </c>
      <c r="I31" s="5">
        <v>2</v>
      </c>
      <c r="J31" s="5">
        <v>55.24</v>
      </c>
      <c r="K31" s="5">
        <v>35.619999999999997</v>
      </c>
      <c r="L31" s="5" t="s">
        <v>452</v>
      </c>
      <c r="M31" s="5">
        <v>57</v>
      </c>
      <c r="N31" s="7">
        <f t="shared" si="0"/>
        <v>27.619999999999997</v>
      </c>
      <c r="O31" s="7">
        <f t="shared" si="1"/>
        <v>55.239999999999995</v>
      </c>
      <c r="P31" s="7">
        <f t="shared" si="2"/>
        <v>35.619999999999997</v>
      </c>
      <c r="Q31" s="7" t="str">
        <f t="shared" si="3"/>
        <v>✓ 通過</v>
      </c>
      <c r="R31" s="7" t="s">
        <v>99</v>
      </c>
      <c r="S31" s="6"/>
      <c r="T31" s="6"/>
    </row>
    <row r="32" spans="1:20" ht="27.6">
      <c r="A32" s="5" t="s">
        <v>459</v>
      </c>
      <c r="B32" s="5" t="s">
        <v>460</v>
      </c>
      <c r="C32" s="8" t="s">
        <v>461</v>
      </c>
      <c r="D32" s="5">
        <v>28</v>
      </c>
      <c r="E32" s="5" t="s">
        <v>396</v>
      </c>
      <c r="F32" s="5">
        <v>24.84</v>
      </c>
      <c r="G32" s="5">
        <v>52.84</v>
      </c>
      <c r="H32" s="5">
        <v>0</v>
      </c>
      <c r="I32" s="5">
        <v>0</v>
      </c>
      <c r="J32" s="5">
        <v>0</v>
      </c>
      <c r="K32" s="5">
        <v>0</v>
      </c>
      <c r="L32" s="5" t="s">
        <v>459</v>
      </c>
      <c r="M32" s="5">
        <v>57</v>
      </c>
      <c r="N32" s="7">
        <f t="shared" si="0"/>
        <v>52.84</v>
      </c>
      <c r="O32" s="7">
        <f t="shared" si="1"/>
        <v>0</v>
      </c>
      <c r="P32" s="7">
        <f t="shared" si="2"/>
        <v>0</v>
      </c>
      <c r="Q32" s="7" t="str">
        <f t="shared" si="3"/>
        <v>✓ 通過</v>
      </c>
      <c r="R32" s="7" t="s">
        <v>99</v>
      </c>
      <c r="S32" s="6"/>
      <c r="T32" s="6"/>
    </row>
    <row r="33" spans="1:20" ht="27.6">
      <c r="A33" s="5" t="s">
        <v>462</v>
      </c>
      <c r="B33" s="5" t="s">
        <v>460</v>
      </c>
      <c r="C33" s="5" t="s">
        <v>463</v>
      </c>
      <c r="D33" s="5">
        <v>28</v>
      </c>
      <c r="E33" s="5" t="s">
        <v>399</v>
      </c>
      <c r="F33" s="5">
        <v>11.74</v>
      </c>
      <c r="G33" s="5">
        <v>39.74</v>
      </c>
      <c r="H33" s="5">
        <v>0</v>
      </c>
      <c r="I33" s="5">
        <v>0</v>
      </c>
      <c r="J33" s="5">
        <v>0</v>
      </c>
      <c r="K33" s="5">
        <v>-13.1</v>
      </c>
      <c r="L33" s="5" t="s">
        <v>459</v>
      </c>
      <c r="M33" s="5">
        <v>57</v>
      </c>
      <c r="N33" s="7">
        <f t="shared" si="0"/>
        <v>39.74</v>
      </c>
      <c r="O33" s="7">
        <f t="shared" si="1"/>
        <v>0</v>
      </c>
      <c r="P33" s="7">
        <f t="shared" si="2"/>
        <v>-13.100000000000001</v>
      </c>
      <c r="Q33" s="7" t="str">
        <f t="shared" si="3"/>
        <v>✓ 通過</v>
      </c>
      <c r="R33" s="7" t="s">
        <v>99</v>
      </c>
      <c r="S33" s="6"/>
      <c r="T33" s="6"/>
    </row>
    <row r="34" spans="1:20" ht="27.6">
      <c r="A34" s="5" t="s">
        <v>464</v>
      </c>
      <c r="B34" s="5" t="s">
        <v>460</v>
      </c>
      <c r="C34" s="5" t="s">
        <v>465</v>
      </c>
      <c r="D34" s="5">
        <v>28</v>
      </c>
      <c r="E34" s="5" t="s">
        <v>402</v>
      </c>
      <c r="F34" s="5">
        <v>5.22</v>
      </c>
      <c r="G34" s="5">
        <v>33.22</v>
      </c>
      <c r="H34" s="5">
        <v>2</v>
      </c>
      <c r="I34" s="5">
        <v>2</v>
      </c>
      <c r="J34" s="5">
        <v>66.44</v>
      </c>
      <c r="K34" s="5">
        <v>46.82</v>
      </c>
      <c r="L34" s="5" t="s">
        <v>459</v>
      </c>
      <c r="M34" s="5">
        <v>57</v>
      </c>
      <c r="N34" s="7">
        <f t="shared" si="0"/>
        <v>33.22</v>
      </c>
      <c r="O34" s="7">
        <f t="shared" si="1"/>
        <v>66.44</v>
      </c>
      <c r="P34" s="7">
        <f t="shared" si="2"/>
        <v>46.819999999999993</v>
      </c>
      <c r="Q34" s="7" t="str">
        <f t="shared" si="3"/>
        <v>✓ 通過</v>
      </c>
      <c r="R34" s="7" t="s">
        <v>99</v>
      </c>
      <c r="S34" s="6"/>
      <c r="T34" s="6"/>
    </row>
    <row r="35" spans="1:20" ht="27.6">
      <c r="A35" s="5" t="s">
        <v>466</v>
      </c>
      <c r="B35" s="5" t="s">
        <v>467</v>
      </c>
      <c r="C35" s="8" t="s">
        <v>468</v>
      </c>
      <c r="D35" s="5">
        <v>24</v>
      </c>
      <c r="E35" s="5" t="s">
        <v>396</v>
      </c>
      <c r="F35" s="5">
        <v>24.84</v>
      </c>
      <c r="G35" s="5">
        <v>48.84</v>
      </c>
      <c r="H35" s="5">
        <v>0</v>
      </c>
      <c r="I35" s="5">
        <v>0</v>
      </c>
      <c r="J35" s="5">
        <v>0</v>
      </c>
      <c r="K35" s="5">
        <v>0</v>
      </c>
      <c r="L35" s="5" t="s">
        <v>466</v>
      </c>
      <c r="M35" s="5">
        <v>57</v>
      </c>
      <c r="N35" s="7">
        <f t="shared" si="0"/>
        <v>48.84</v>
      </c>
      <c r="O35" s="7">
        <f t="shared" si="1"/>
        <v>0</v>
      </c>
      <c r="P35" s="7">
        <f t="shared" si="2"/>
        <v>0</v>
      </c>
      <c r="Q35" s="7" t="str">
        <f t="shared" si="3"/>
        <v>✓ 通過</v>
      </c>
      <c r="R35" s="7" t="s">
        <v>99</v>
      </c>
      <c r="S35" s="6"/>
      <c r="T35" s="6"/>
    </row>
    <row r="36" spans="1:20" ht="27.6">
      <c r="A36" s="5" t="s">
        <v>469</v>
      </c>
      <c r="B36" s="5" t="s">
        <v>467</v>
      </c>
      <c r="C36" s="5" t="s">
        <v>470</v>
      </c>
      <c r="D36" s="5">
        <v>24</v>
      </c>
      <c r="E36" s="5" t="s">
        <v>399</v>
      </c>
      <c r="F36" s="5">
        <v>11.74</v>
      </c>
      <c r="G36" s="5">
        <v>35.74</v>
      </c>
      <c r="H36" s="5">
        <v>0</v>
      </c>
      <c r="I36" s="5">
        <v>0</v>
      </c>
      <c r="J36" s="5">
        <v>0</v>
      </c>
      <c r="K36" s="5">
        <v>-13.1</v>
      </c>
      <c r="L36" s="5" t="s">
        <v>466</v>
      </c>
      <c r="M36" s="5">
        <v>57</v>
      </c>
      <c r="N36" s="7">
        <f t="shared" si="0"/>
        <v>35.74</v>
      </c>
      <c r="O36" s="7">
        <f t="shared" si="1"/>
        <v>0</v>
      </c>
      <c r="P36" s="7">
        <f t="shared" si="2"/>
        <v>-13.100000000000001</v>
      </c>
      <c r="Q36" s="7" t="str">
        <f t="shared" si="3"/>
        <v>✓ 通過</v>
      </c>
      <c r="R36" s="7" t="s">
        <v>99</v>
      </c>
      <c r="S36" s="6"/>
      <c r="T36" s="6"/>
    </row>
    <row r="37" spans="1:20" ht="27.6">
      <c r="A37" s="5" t="s">
        <v>471</v>
      </c>
      <c r="B37" s="5" t="s">
        <v>472</v>
      </c>
      <c r="C37" s="8" t="s">
        <v>473</v>
      </c>
      <c r="D37" s="5">
        <v>28.8</v>
      </c>
      <c r="E37" s="5" t="s">
        <v>396</v>
      </c>
      <c r="F37" s="5">
        <v>24.84</v>
      </c>
      <c r="G37" s="5">
        <v>53.64</v>
      </c>
      <c r="H37" s="5">
        <v>0</v>
      </c>
      <c r="I37" s="5">
        <v>0</v>
      </c>
      <c r="J37" s="5">
        <v>0</v>
      </c>
      <c r="K37" s="5">
        <v>0</v>
      </c>
      <c r="L37" s="5" t="s">
        <v>471</v>
      </c>
      <c r="M37" s="5">
        <v>57</v>
      </c>
      <c r="N37" s="7">
        <f t="shared" si="0"/>
        <v>53.64</v>
      </c>
      <c r="O37" s="7">
        <f t="shared" si="1"/>
        <v>0</v>
      </c>
      <c r="P37" s="7">
        <f t="shared" si="2"/>
        <v>0</v>
      </c>
      <c r="Q37" s="7" t="str">
        <f t="shared" si="3"/>
        <v>✓ 通過</v>
      </c>
      <c r="R37" s="7" t="s">
        <v>99</v>
      </c>
      <c r="S37" s="6"/>
      <c r="T37" s="6"/>
    </row>
    <row r="38" spans="1:20" ht="27.6">
      <c r="A38" s="5" t="s">
        <v>474</v>
      </c>
      <c r="B38" s="5" t="s">
        <v>472</v>
      </c>
      <c r="C38" s="5" t="s">
        <v>475</v>
      </c>
      <c r="D38" s="5">
        <v>28.8</v>
      </c>
      <c r="E38" s="5" t="s">
        <v>399</v>
      </c>
      <c r="F38" s="5">
        <v>11.74</v>
      </c>
      <c r="G38" s="5">
        <v>40.54</v>
      </c>
      <c r="H38" s="5">
        <v>0</v>
      </c>
      <c r="I38" s="5">
        <v>0</v>
      </c>
      <c r="J38" s="5">
        <v>0</v>
      </c>
      <c r="K38" s="5">
        <v>-13.1</v>
      </c>
      <c r="L38" s="5" t="s">
        <v>471</v>
      </c>
      <c r="M38" s="5">
        <v>57</v>
      </c>
      <c r="N38" s="7">
        <f t="shared" si="0"/>
        <v>40.54</v>
      </c>
      <c r="O38" s="7">
        <f t="shared" si="1"/>
        <v>0</v>
      </c>
      <c r="P38" s="7">
        <f t="shared" si="2"/>
        <v>-13.100000000000001</v>
      </c>
      <c r="Q38" s="7" t="str">
        <f t="shared" si="3"/>
        <v>✓ 通過</v>
      </c>
      <c r="R38" s="7" t="s">
        <v>99</v>
      </c>
      <c r="S38" s="6"/>
      <c r="T38" s="6"/>
    </row>
    <row r="39" spans="1:20" ht="27.6">
      <c r="A39" s="5" t="s">
        <v>476</v>
      </c>
      <c r="B39" s="5" t="s">
        <v>477</v>
      </c>
      <c r="C39" s="8" t="s">
        <v>478</v>
      </c>
      <c r="D39" s="5">
        <v>38.4</v>
      </c>
      <c r="E39" s="5" t="s">
        <v>396</v>
      </c>
      <c r="F39" s="5">
        <v>24.84</v>
      </c>
      <c r="G39" s="5">
        <v>63.24</v>
      </c>
      <c r="H39" s="5">
        <v>0</v>
      </c>
      <c r="I39" s="5">
        <v>0</v>
      </c>
      <c r="J39" s="5">
        <v>0</v>
      </c>
      <c r="K39" s="5">
        <v>0</v>
      </c>
      <c r="L39" s="5" t="s">
        <v>476</v>
      </c>
      <c r="M39" s="5">
        <v>57</v>
      </c>
      <c r="N39" s="7">
        <f t="shared" si="0"/>
        <v>63.239999999999995</v>
      </c>
      <c r="O39" s="7">
        <f t="shared" si="1"/>
        <v>0</v>
      </c>
      <c r="P39" s="7">
        <f t="shared" si="2"/>
        <v>0</v>
      </c>
      <c r="Q39" s="7" t="str">
        <f t="shared" si="3"/>
        <v>✓ 通過</v>
      </c>
      <c r="R39" s="7" t="s">
        <v>99</v>
      </c>
      <c r="S39" s="6"/>
      <c r="T39" s="6"/>
    </row>
    <row r="40" spans="1:20" ht="27.6">
      <c r="A40" s="5" t="s">
        <v>479</v>
      </c>
      <c r="B40" s="5" t="s">
        <v>477</v>
      </c>
      <c r="C40" s="5" t="s">
        <v>480</v>
      </c>
      <c r="D40" s="5">
        <v>38.4</v>
      </c>
      <c r="E40" s="5" t="s">
        <v>399</v>
      </c>
      <c r="F40" s="5">
        <v>11.74</v>
      </c>
      <c r="G40" s="5">
        <v>50.14</v>
      </c>
      <c r="H40" s="5">
        <v>0</v>
      </c>
      <c r="I40" s="5">
        <v>0</v>
      </c>
      <c r="J40" s="5">
        <v>0</v>
      </c>
      <c r="K40" s="5">
        <v>-13.1</v>
      </c>
      <c r="L40" s="5" t="s">
        <v>476</v>
      </c>
      <c r="M40" s="5">
        <v>57</v>
      </c>
      <c r="N40" s="7">
        <f t="shared" si="0"/>
        <v>50.14</v>
      </c>
      <c r="O40" s="7">
        <f t="shared" si="1"/>
        <v>0</v>
      </c>
      <c r="P40" s="7">
        <f t="shared" si="2"/>
        <v>-13.100000000000001</v>
      </c>
      <c r="Q40" s="7" t="str">
        <f t="shared" si="3"/>
        <v>✓ 通過</v>
      </c>
      <c r="R40" s="7" t="s">
        <v>99</v>
      </c>
      <c r="S40" s="6"/>
      <c r="T40" s="6"/>
    </row>
    <row r="41" spans="1:20" ht="27.6">
      <c r="A41" s="5" t="s">
        <v>481</v>
      </c>
      <c r="B41" s="5" t="s">
        <v>482</v>
      </c>
      <c r="C41" s="8" t="s">
        <v>483</v>
      </c>
      <c r="D41" s="5">
        <v>39.299999999999997</v>
      </c>
      <c r="E41" s="5" t="s">
        <v>396</v>
      </c>
      <c r="F41" s="5">
        <v>24.84</v>
      </c>
      <c r="G41" s="5">
        <v>64.14</v>
      </c>
      <c r="H41" s="5">
        <v>0</v>
      </c>
      <c r="I41" s="5">
        <v>0</v>
      </c>
      <c r="J41" s="5">
        <v>0</v>
      </c>
      <c r="K41" s="5">
        <v>0</v>
      </c>
      <c r="L41" s="5" t="s">
        <v>481</v>
      </c>
      <c r="M41" s="5">
        <v>57</v>
      </c>
      <c r="N41" s="7">
        <f t="shared" si="0"/>
        <v>64.14</v>
      </c>
      <c r="O41" s="7">
        <f t="shared" si="1"/>
        <v>0</v>
      </c>
      <c r="P41" s="7">
        <f t="shared" si="2"/>
        <v>0</v>
      </c>
      <c r="Q41" s="7" t="str">
        <f t="shared" si="3"/>
        <v>✓ 通過</v>
      </c>
      <c r="R41" s="7" t="s">
        <v>99</v>
      </c>
      <c r="S41" s="6"/>
      <c r="T41" s="6"/>
    </row>
    <row r="42" spans="1:20" ht="27.6">
      <c r="A42" s="5" t="s">
        <v>484</v>
      </c>
      <c r="B42" s="5" t="s">
        <v>482</v>
      </c>
      <c r="C42" s="5" t="s">
        <v>485</v>
      </c>
      <c r="D42" s="5">
        <v>39.299999999999997</v>
      </c>
      <c r="E42" s="5" t="s">
        <v>399</v>
      </c>
      <c r="F42" s="5">
        <v>11.74</v>
      </c>
      <c r="G42" s="5">
        <v>51.04</v>
      </c>
      <c r="H42" s="5">
        <v>0</v>
      </c>
      <c r="I42" s="5">
        <v>0</v>
      </c>
      <c r="J42" s="5">
        <v>0</v>
      </c>
      <c r="K42" s="5">
        <v>-13.1</v>
      </c>
      <c r="L42" s="5" t="s">
        <v>481</v>
      </c>
      <c r="M42" s="5">
        <v>57</v>
      </c>
      <c r="N42" s="7">
        <f t="shared" si="0"/>
        <v>51.04</v>
      </c>
      <c r="O42" s="7">
        <f t="shared" si="1"/>
        <v>0</v>
      </c>
      <c r="P42" s="7">
        <f t="shared" si="2"/>
        <v>-13.100000000000001</v>
      </c>
      <c r="Q42" s="7" t="str">
        <f t="shared" si="3"/>
        <v>✓ 通過</v>
      </c>
      <c r="R42" s="7" t="s">
        <v>99</v>
      </c>
      <c r="S42" s="6"/>
      <c r="T42" s="6"/>
    </row>
    <row r="43" spans="1:20" ht="27.6">
      <c r="A43" s="5" t="s">
        <v>486</v>
      </c>
      <c r="B43" s="5" t="s">
        <v>487</v>
      </c>
      <c r="C43" s="8" t="s">
        <v>488</v>
      </c>
      <c r="D43" s="5">
        <v>52.4</v>
      </c>
      <c r="E43" s="5" t="s">
        <v>396</v>
      </c>
      <c r="F43" s="5">
        <v>24.84</v>
      </c>
      <c r="G43" s="5">
        <v>77.239999999999995</v>
      </c>
      <c r="H43" s="5">
        <v>0</v>
      </c>
      <c r="I43" s="5">
        <v>0</v>
      </c>
      <c r="J43" s="5">
        <v>0</v>
      </c>
      <c r="K43" s="5">
        <v>0</v>
      </c>
      <c r="L43" s="5" t="s">
        <v>486</v>
      </c>
      <c r="M43" s="5">
        <v>57</v>
      </c>
      <c r="N43" s="7">
        <f t="shared" si="0"/>
        <v>77.239999999999995</v>
      </c>
      <c r="O43" s="7">
        <f t="shared" si="1"/>
        <v>0</v>
      </c>
      <c r="P43" s="7">
        <f t="shared" si="2"/>
        <v>0</v>
      </c>
      <c r="Q43" s="7" t="str">
        <f t="shared" si="3"/>
        <v>✓ 通過</v>
      </c>
      <c r="R43" s="7" t="s">
        <v>99</v>
      </c>
      <c r="S43" s="6"/>
      <c r="T43" s="6"/>
    </row>
    <row r="44" spans="1:20" ht="27.6">
      <c r="A44" s="5" t="s">
        <v>489</v>
      </c>
      <c r="B44" s="5" t="s">
        <v>487</v>
      </c>
      <c r="C44" s="5" t="s">
        <v>490</v>
      </c>
      <c r="D44" s="5">
        <v>52.4</v>
      </c>
      <c r="E44" s="5" t="s">
        <v>399</v>
      </c>
      <c r="F44" s="5">
        <v>11.74</v>
      </c>
      <c r="G44" s="5">
        <v>64.14</v>
      </c>
      <c r="H44" s="5">
        <v>0</v>
      </c>
      <c r="I44" s="5">
        <v>0</v>
      </c>
      <c r="J44" s="5">
        <v>0</v>
      </c>
      <c r="K44" s="5">
        <v>-13.1</v>
      </c>
      <c r="L44" s="5" t="s">
        <v>486</v>
      </c>
      <c r="M44" s="5">
        <v>57</v>
      </c>
      <c r="N44" s="7">
        <f t="shared" si="0"/>
        <v>64.14</v>
      </c>
      <c r="O44" s="7">
        <f t="shared" si="1"/>
        <v>0</v>
      </c>
      <c r="P44" s="7">
        <f t="shared" si="2"/>
        <v>-13.099999999999994</v>
      </c>
      <c r="Q44" s="7" t="str">
        <f t="shared" si="3"/>
        <v>✓ 通過</v>
      </c>
      <c r="R44" s="7" t="s">
        <v>99</v>
      </c>
      <c r="S44" s="6"/>
      <c r="T44" s="6"/>
    </row>
  </sheetData>
  <autoFilter ref="A4:T44" xr:uid="{00000000-0009-0000-0000-000004000000}"/>
  <mergeCells count="1">
    <mergeCell ref="A2:T2"/>
  </mergeCells>
  <phoneticPr fontId="5" type="noConversion"/>
  <conditionalFormatting sqref="Q5:Q44">
    <cfRule type="expression" dxfId="11" priority="1">
      <formula>LEFT(Q5,1)="⚠"</formula>
    </cfRule>
  </conditionalFormatting>
  <conditionalFormatting sqref="R5:R44">
    <cfRule type="expression" dxfId="10" priority="2">
      <formula>R5&lt;&gt;"一致"</formula>
    </cfRule>
  </conditionalFormatting>
  <dataValidations count="1">
    <dataValidation type="list" allowBlank="1" sqref="S5:S44" xr:uid="{00000000-0002-0000-0400-000000000000}">
      <formula1>"✓ 正確,✗ 有誤,? 不確定"</formula1>
    </dataValidation>
  </dataValidations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34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/>
  <cols>
    <col min="1" max="1" width="15" customWidth="1"/>
    <col min="2" max="2" width="18" customWidth="1"/>
    <col min="3" max="3" width="34" customWidth="1"/>
    <col min="4" max="4" width="10" customWidth="1"/>
    <col min="5" max="5" width="22" customWidth="1"/>
    <col min="6" max="6" width="10" customWidth="1"/>
    <col min="7" max="7" width="11" customWidth="1"/>
    <col min="8" max="9" width="8" customWidth="1"/>
    <col min="10" max="10" width="12" customWidth="1"/>
    <col min="11" max="11" width="10" customWidth="1"/>
    <col min="12" max="12" width="14" customWidth="1"/>
    <col min="13" max="16" width="9" customWidth="1"/>
    <col min="17" max="17" width="16" customWidth="1"/>
    <col min="18" max="18" width="22" customWidth="1"/>
    <col min="19" max="19" width="11" customWidth="1"/>
    <col min="20" max="20" width="24" customWidth="1"/>
  </cols>
  <sheetData>
    <row r="1" spans="1:20" ht="18">
      <c r="A1" s="1" t="s">
        <v>491</v>
      </c>
    </row>
    <row r="2" spans="1:20" ht="48" customHeight="1">
      <c r="A2" s="9" t="s">
        <v>492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4" spans="1:20" ht="42" customHeight="1">
      <c r="A4" s="4" t="s">
        <v>78</v>
      </c>
      <c r="B4" s="4" t="s">
        <v>386</v>
      </c>
      <c r="C4" s="4" t="s">
        <v>353</v>
      </c>
      <c r="D4" s="4" t="s">
        <v>387</v>
      </c>
      <c r="E4" s="4" t="s">
        <v>388</v>
      </c>
      <c r="F4" s="4" t="s">
        <v>389</v>
      </c>
      <c r="G4" s="4" t="s">
        <v>390</v>
      </c>
      <c r="H4" s="4" t="s">
        <v>359</v>
      </c>
      <c r="I4" s="4" t="s">
        <v>360</v>
      </c>
      <c r="J4" s="4" t="s">
        <v>391</v>
      </c>
      <c r="K4" s="4" t="s">
        <v>392</v>
      </c>
      <c r="L4" s="4" t="s">
        <v>363</v>
      </c>
      <c r="M4" s="4" t="s">
        <v>89</v>
      </c>
      <c r="N4" s="4" t="s">
        <v>364</v>
      </c>
      <c r="O4" s="4" t="s">
        <v>365</v>
      </c>
      <c r="P4" s="4" t="s">
        <v>366</v>
      </c>
      <c r="Q4" s="4" t="s">
        <v>91</v>
      </c>
      <c r="R4" s="4" t="s">
        <v>92</v>
      </c>
      <c r="S4" s="4" t="s">
        <v>93</v>
      </c>
      <c r="T4" s="4" t="s">
        <v>33</v>
      </c>
    </row>
    <row r="5" spans="1:20" ht="27.6">
      <c r="A5" s="5" t="s">
        <v>493</v>
      </c>
      <c r="B5" s="5" t="s">
        <v>394</v>
      </c>
      <c r="C5" s="8" t="s">
        <v>494</v>
      </c>
      <c r="D5" s="5">
        <v>12.3</v>
      </c>
      <c r="E5" s="5" t="s">
        <v>495</v>
      </c>
      <c r="F5" s="5">
        <v>30.32</v>
      </c>
      <c r="G5" s="5">
        <v>42.62</v>
      </c>
      <c r="H5" s="5">
        <v>0</v>
      </c>
      <c r="I5" s="5">
        <v>0</v>
      </c>
      <c r="J5" s="5">
        <v>0</v>
      </c>
      <c r="K5" s="5">
        <v>0</v>
      </c>
      <c r="L5" s="5" t="s">
        <v>493</v>
      </c>
      <c r="M5" s="5">
        <v>58</v>
      </c>
      <c r="N5" s="7">
        <f t="shared" ref="N5:N34" si="0">D5+F5</f>
        <v>42.620000000000005</v>
      </c>
      <c r="O5" s="7">
        <f t="shared" ref="O5:O34" si="1">D5*H5+F5*I5</f>
        <v>0</v>
      </c>
      <c r="P5" s="7">
        <f t="shared" ref="P5:P34" si="2">IFERROR((G5+J5)-(INDEX($G$5:$G$34,MATCH(L5,$A$5:$A$34,0))+INDEX($J$5:$J$34,MATCH(L5,$A$5:$A$34,0))),"無基準")</f>
        <v>0</v>
      </c>
      <c r="Q5" s="7" t="str">
        <f t="shared" ref="Q5:Q34" si="3">IF(ISNUMBER(P5),IF(AND(ABS(N5-G5)&lt;=0.02,ABS(O5-J5)&lt;=0.02,ABS(P5-K5)&lt;=0.02),"✓ 通過","⚠ "&amp;IF(ABS(N5-G5)&gt;0.02,"新建不符 ","")&amp;IF(ABS(O5-J5)&gt;0.02,"更新不符 ","")&amp;IF(ABS(P5-K5)&gt;0.02,"減碳量不符","")),"⚠ 找不到基準")</f>
        <v>✓ 通過</v>
      </c>
      <c r="R5" s="7" t="s">
        <v>99</v>
      </c>
      <c r="S5" s="6"/>
      <c r="T5" s="6"/>
    </row>
    <row r="6" spans="1:20" ht="27.6">
      <c r="A6" s="5" t="s">
        <v>496</v>
      </c>
      <c r="B6" s="5" t="s">
        <v>394</v>
      </c>
      <c r="C6" s="5" t="s">
        <v>497</v>
      </c>
      <c r="D6" s="5">
        <v>12.3</v>
      </c>
      <c r="E6" s="5" t="s">
        <v>498</v>
      </c>
      <c r="F6" s="5">
        <v>46.63</v>
      </c>
      <c r="G6" s="5">
        <v>58.93</v>
      </c>
      <c r="H6" s="5">
        <v>0</v>
      </c>
      <c r="I6" s="5">
        <v>0</v>
      </c>
      <c r="J6" s="5">
        <v>0</v>
      </c>
      <c r="K6" s="5">
        <v>16.309999999999999</v>
      </c>
      <c r="L6" s="5" t="s">
        <v>493</v>
      </c>
      <c r="M6" s="5">
        <v>58</v>
      </c>
      <c r="N6" s="7">
        <f t="shared" si="0"/>
        <v>58.930000000000007</v>
      </c>
      <c r="O6" s="7">
        <f t="shared" si="1"/>
        <v>0</v>
      </c>
      <c r="P6" s="7">
        <f t="shared" si="2"/>
        <v>16.310000000000002</v>
      </c>
      <c r="Q6" s="7" t="str">
        <f t="shared" si="3"/>
        <v>✓ 通過</v>
      </c>
      <c r="R6" s="7" t="s">
        <v>99</v>
      </c>
      <c r="S6" s="6"/>
      <c r="T6" s="6"/>
    </row>
    <row r="7" spans="1:20" ht="27.6">
      <c r="A7" s="5" t="s">
        <v>499</v>
      </c>
      <c r="B7" s="5" t="s">
        <v>404</v>
      </c>
      <c r="C7" s="8" t="s">
        <v>500</v>
      </c>
      <c r="D7" s="5">
        <v>16.399999999999999</v>
      </c>
      <c r="E7" s="5" t="s">
        <v>495</v>
      </c>
      <c r="F7" s="5">
        <v>30.32</v>
      </c>
      <c r="G7" s="5">
        <v>46.72</v>
      </c>
      <c r="H7" s="5">
        <v>0</v>
      </c>
      <c r="I7" s="5">
        <v>0</v>
      </c>
      <c r="J7" s="5">
        <v>0</v>
      </c>
      <c r="K7" s="5">
        <v>0</v>
      </c>
      <c r="L7" s="5" t="s">
        <v>499</v>
      </c>
      <c r="M7" s="5">
        <v>58</v>
      </c>
      <c r="N7" s="7">
        <f t="shared" si="0"/>
        <v>46.72</v>
      </c>
      <c r="O7" s="7">
        <f t="shared" si="1"/>
        <v>0</v>
      </c>
      <c r="P7" s="7">
        <f t="shared" si="2"/>
        <v>0</v>
      </c>
      <c r="Q7" s="7" t="str">
        <f t="shared" si="3"/>
        <v>✓ 通過</v>
      </c>
      <c r="R7" s="7" t="s">
        <v>99</v>
      </c>
      <c r="S7" s="6"/>
      <c r="T7" s="6"/>
    </row>
    <row r="8" spans="1:20" ht="27.6">
      <c r="A8" s="5" t="s">
        <v>501</v>
      </c>
      <c r="B8" s="5" t="s">
        <v>404</v>
      </c>
      <c r="C8" s="5" t="s">
        <v>502</v>
      </c>
      <c r="D8" s="5">
        <v>16.399999999999999</v>
      </c>
      <c r="E8" s="5" t="s">
        <v>498</v>
      </c>
      <c r="F8" s="5">
        <v>46.63</v>
      </c>
      <c r="G8" s="5">
        <v>63.03</v>
      </c>
      <c r="H8" s="5">
        <v>0</v>
      </c>
      <c r="I8" s="5">
        <v>0</v>
      </c>
      <c r="J8" s="5">
        <v>0</v>
      </c>
      <c r="K8" s="5">
        <v>16.309999999999999</v>
      </c>
      <c r="L8" s="5" t="s">
        <v>499</v>
      </c>
      <c r="M8" s="5">
        <v>58</v>
      </c>
      <c r="N8" s="7">
        <f t="shared" si="0"/>
        <v>63.03</v>
      </c>
      <c r="O8" s="7">
        <f t="shared" si="1"/>
        <v>0</v>
      </c>
      <c r="P8" s="7">
        <f t="shared" si="2"/>
        <v>16.310000000000002</v>
      </c>
      <c r="Q8" s="7" t="str">
        <f t="shared" si="3"/>
        <v>✓ 通過</v>
      </c>
      <c r="R8" s="7" t="s">
        <v>99</v>
      </c>
      <c r="S8" s="6"/>
      <c r="T8" s="6"/>
    </row>
    <row r="9" spans="1:20" ht="27.6">
      <c r="A9" s="5" t="s">
        <v>503</v>
      </c>
      <c r="B9" s="5" t="s">
        <v>411</v>
      </c>
      <c r="C9" s="8" t="s">
        <v>504</v>
      </c>
      <c r="D9" s="5">
        <v>20.5</v>
      </c>
      <c r="E9" s="5" t="s">
        <v>495</v>
      </c>
      <c r="F9" s="5">
        <v>30.32</v>
      </c>
      <c r="G9" s="5">
        <v>50.82</v>
      </c>
      <c r="H9" s="5">
        <v>0</v>
      </c>
      <c r="I9" s="5">
        <v>0</v>
      </c>
      <c r="J9" s="5">
        <v>0</v>
      </c>
      <c r="K9" s="5">
        <v>0</v>
      </c>
      <c r="L9" s="5" t="s">
        <v>503</v>
      </c>
      <c r="M9" s="5">
        <v>58</v>
      </c>
      <c r="N9" s="7">
        <f t="shared" si="0"/>
        <v>50.82</v>
      </c>
      <c r="O9" s="7">
        <f t="shared" si="1"/>
        <v>0</v>
      </c>
      <c r="P9" s="7">
        <f t="shared" si="2"/>
        <v>0</v>
      </c>
      <c r="Q9" s="7" t="str">
        <f t="shared" si="3"/>
        <v>✓ 通過</v>
      </c>
      <c r="R9" s="7" t="s">
        <v>99</v>
      </c>
      <c r="S9" s="6"/>
      <c r="T9" s="6"/>
    </row>
    <row r="10" spans="1:20" ht="27.6">
      <c r="A10" s="5" t="s">
        <v>505</v>
      </c>
      <c r="B10" s="5" t="s">
        <v>411</v>
      </c>
      <c r="C10" s="5" t="s">
        <v>506</v>
      </c>
      <c r="D10" s="5">
        <v>20.5</v>
      </c>
      <c r="E10" s="5" t="s">
        <v>498</v>
      </c>
      <c r="F10" s="5">
        <v>46.63</v>
      </c>
      <c r="G10" s="5">
        <v>67.13</v>
      </c>
      <c r="H10" s="5">
        <v>0</v>
      </c>
      <c r="I10" s="5">
        <v>0</v>
      </c>
      <c r="J10" s="5">
        <v>0</v>
      </c>
      <c r="K10" s="5">
        <v>16.309999999999999</v>
      </c>
      <c r="L10" s="5" t="s">
        <v>503</v>
      </c>
      <c r="M10" s="5">
        <v>58</v>
      </c>
      <c r="N10" s="7">
        <f t="shared" si="0"/>
        <v>67.13</v>
      </c>
      <c r="O10" s="7">
        <f t="shared" si="1"/>
        <v>0</v>
      </c>
      <c r="P10" s="7">
        <f t="shared" si="2"/>
        <v>16.309999999999995</v>
      </c>
      <c r="Q10" s="7" t="str">
        <f t="shared" si="3"/>
        <v>✓ 通過</v>
      </c>
      <c r="R10" s="7" t="s">
        <v>99</v>
      </c>
      <c r="S10" s="6"/>
      <c r="T10" s="6"/>
    </row>
    <row r="11" spans="1:20" ht="27.6">
      <c r="A11" s="5" t="s">
        <v>507</v>
      </c>
      <c r="B11" s="5" t="s">
        <v>418</v>
      </c>
      <c r="C11" s="8" t="s">
        <v>508</v>
      </c>
      <c r="D11" s="5">
        <v>24.6</v>
      </c>
      <c r="E11" s="5" t="s">
        <v>495</v>
      </c>
      <c r="F11" s="5">
        <v>30.32</v>
      </c>
      <c r="G11" s="5">
        <v>55.92</v>
      </c>
      <c r="H11" s="5">
        <v>0</v>
      </c>
      <c r="I11" s="5">
        <v>0</v>
      </c>
      <c r="J11" s="5">
        <v>0</v>
      </c>
      <c r="K11" s="5">
        <v>0</v>
      </c>
      <c r="L11" s="5" t="s">
        <v>507</v>
      </c>
      <c r="M11" s="5">
        <v>58</v>
      </c>
      <c r="N11" s="7">
        <f t="shared" si="0"/>
        <v>54.92</v>
      </c>
      <c r="O11" s="7">
        <f t="shared" si="1"/>
        <v>0</v>
      </c>
      <c r="P11" s="7">
        <f t="shared" si="2"/>
        <v>0</v>
      </c>
      <c r="Q11" s="7" t="str">
        <f t="shared" si="3"/>
        <v xml:space="preserve">⚠ 新建不符 </v>
      </c>
      <c r="R11" s="7" t="s">
        <v>99</v>
      </c>
      <c r="S11" s="6"/>
      <c r="T11" s="6"/>
    </row>
    <row r="12" spans="1:20" ht="27.6">
      <c r="A12" s="5" t="s">
        <v>509</v>
      </c>
      <c r="B12" s="5" t="s">
        <v>418</v>
      </c>
      <c r="C12" s="5" t="s">
        <v>510</v>
      </c>
      <c r="D12" s="5">
        <v>24.6</v>
      </c>
      <c r="E12" s="5" t="s">
        <v>498</v>
      </c>
      <c r="F12" s="5">
        <v>46.63</v>
      </c>
      <c r="G12" s="5">
        <v>71.23</v>
      </c>
      <c r="H12" s="5">
        <v>0</v>
      </c>
      <c r="I12" s="5">
        <v>0</v>
      </c>
      <c r="J12" s="5">
        <v>0</v>
      </c>
      <c r="K12" s="5">
        <v>16.309999999999999</v>
      </c>
      <c r="L12" s="5" t="s">
        <v>507</v>
      </c>
      <c r="M12" s="5">
        <v>58</v>
      </c>
      <c r="N12" s="7">
        <f t="shared" si="0"/>
        <v>71.23</v>
      </c>
      <c r="O12" s="7">
        <f t="shared" si="1"/>
        <v>0</v>
      </c>
      <c r="P12" s="7">
        <f t="shared" si="2"/>
        <v>15.310000000000002</v>
      </c>
      <c r="Q12" s="7" t="str">
        <f t="shared" si="3"/>
        <v>⚠ 減碳量不符</v>
      </c>
      <c r="R12" s="7" t="s">
        <v>99</v>
      </c>
      <c r="S12" s="6"/>
      <c r="T12" s="6"/>
    </row>
    <row r="13" spans="1:20" ht="27.6">
      <c r="A13" s="5" t="s">
        <v>511</v>
      </c>
      <c r="B13" s="5" t="s">
        <v>425</v>
      </c>
      <c r="C13" s="8" t="s">
        <v>512</v>
      </c>
      <c r="D13" s="5">
        <v>22.4</v>
      </c>
      <c r="E13" s="5" t="s">
        <v>495</v>
      </c>
      <c r="F13" s="5">
        <v>30.32</v>
      </c>
      <c r="G13" s="5">
        <v>52.72</v>
      </c>
      <c r="H13" s="5">
        <v>0</v>
      </c>
      <c r="I13" s="5">
        <v>0</v>
      </c>
      <c r="J13" s="5">
        <v>0</v>
      </c>
      <c r="K13" s="5">
        <v>0</v>
      </c>
      <c r="L13" s="5" t="s">
        <v>511</v>
      </c>
      <c r="M13" s="5">
        <v>58</v>
      </c>
      <c r="N13" s="7">
        <f t="shared" si="0"/>
        <v>52.72</v>
      </c>
      <c r="O13" s="7">
        <f t="shared" si="1"/>
        <v>0</v>
      </c>
      <c r="P13" s="7">
        <f t="shared" si="2"/>
        <v>0</v>
      </c>
      <c r="Q13" s="7" t="str">
        <f t="shared" si="3"/>
        <v>✓ 通過</v>
      </c>
      <c r="R13" s="7" t="s">
        <v>99</v>
      </c>
      <c r="S13" s="6"/>
      <c r="T13" s="6"/>
    </row>
    <row r="14" spans="1:20" ht="27.6">
      <c r="A14" s="5" t="s">
        <v>513</v>
      </c>
      <c r="B14" s="5" t="s">
        <v>425</v>
      </c>
      <c r="C14" s="5" t="s">
        <v>514</v>
      </c>
      <c r="D14" s="5">
        <v>22.4</v>
      </c>
      <c r="E14" s="5" t="s">
        <v>498</v>
      </c>
      <c r="F14" s="5">
        <v>46.63</v>
      </c>
      <c r="G14" s="5">
        <v>69.03</v>
      </c>
      <c r="H14" s="5">
        <v>0</v>
      </c>
      <c r="I14" s="5">
        <v>0</v>
      </c>
      <c r="J14" s="5">
        <v>0</v>
      </c>
      <c r="K14" s="5">
        <v>16.309999999999999</v>
      </c>
      <c r="L14" s="5" t="s">
        <v>511</v>
      </c>
      <c r="M14" s="5">
        <v>58</v>
      </c>
      <c r="N14" s="7">
        <f t="shared" si="0"/>
        <v>69.03</v>
      </c>
      <c r="O14" s="7">
        <f t="shared" si="1"/>
        <v>0</v>
      </c>
      <c r="P14" s="7">
        <f t="shared" si="2"/>
        <v>16.310000000000002</v>
      </c>
      <c r="Q14" s="7" t="str">
        <f t="shared" si="3"/>
        <v>✓ 通過</v>
      </c>
      <c r="R14" s="7" t="s">
        <v>99</v>
      </c>
      <c r="S14" s="6"/>
      <c r="T14" s="6"/>
    </row>
    <row r="15" spans="1:20" ht="27.6">
      <c r="A15" s="5" t="s">
        <v>515</v>
      </c>
      <c r="B15" s="5" t="s">
        <v>432</v>
      </c>
      <c r="C15" s="8" t="s">
        <v>516</v>
      </c>
      <c r="D15" s="5">
        <v>28</v>
      </c>
      <c r="E15" s="5" t="s">
        <v>495</v>
      </c>
      <c r="F15" s="5">
        <v>30.32</v>
      </c>
      <c r="G15" s="5">
        <v>58.32</v>
      </c>
      <c r="H15" s="5">
        <v>0</v>
      </c>
      <c r="I15" s="5">
        <v>0</v>
      </c>
      <c r="J15" s="5">
        <v>0</v>
      </c>
      <c r="K15" s="5">
        <v>0</v>
      </c>
      <c r="L15" s="5" t="s">
        <v>515</v>
      </c>
      <c r="M15" s="5">
        <v>58</v>
      </c>
      <c r="N15" s="7">
        <f t="shared" si="0"/>
        <v>58.32</v>
      </c>
      <c r="O15" s="7">
        <f t="shared" si="1"/>
        <v>0</v>
      </c>
      <c r="P15" s="7">
        <f t="shared" si="2"/>
        <v>0</v>
      </c>
      <c r="Q15" s="7" t="str">
        <f t="shared" si="3"/>
        <v>✓ 通過</v>
      </c>
      <c r="R15" s="7" t="s">
        <v>99</v>
      </c>
      <c r="S15" s="6"/>
      <c r="T15" s="6"/>
    </row>
    <row r="16" spans="1:20" ht="27.6">
      <c r="A16" s="5" t="s">
        <v>517</v>
      </c>
      <c r="B16" s="5" t="s">
        <v>432</v>
      </c>
      <c r="C16" s="5" t="s">
        <v>518</v>
      </c>
      <c r="D16" s="5">
        <v>28</v>
      </c>
      <c r="E16" s="5" t="s">
        <v>498</v>
      </c>
      <c r="F16" s="5">
        <v>46.63</v>
      </c>
      <c r="G16" s="5">
        <v>74.63</v>
      </c>
      <c r="H16" s="5">
        <v>0</v>
      </c>
      <c r="I16" s="5">
        <v>0</v>
      </c>
      <c r="J16" s="5">
        <v>0</v>
      </c>
      <c r="K16" s="5">
        <v>16.309999999999999</v>
      </c>
      <c r="L16" s="5" t="s">
        <v>515</v>
      </c>
      <c r="M16" s="5">
        <v>58</v>
      </c>
      <c r="N16" s="7">
        <f t="shared" si="0"/>
        <v>74.63</v>
      </c>
      <c r="O16" s="7">
        <f t="shared" si="1"/>
        <v>0</v>
      </c>
      <c r="P16" s="7">
        <f t="shared" si="2"/>
        <v>16.309999999999995</v>
      </c>
      <c r="Q16" s="7" t="str">
        <f t="shared" si="3"/>
        <v>✓ 通過</v>
      </c>
      <c r="R16" s="7" t="s">
        <v>99</v>
      </c>
      <c r="S16" s="6"/>
      <c r="T16" s="6"/>
    </row>
    <row r="17" spans="1:20" ht="27.6">
      <c r="A17" s="5" t="s">
        <v>519</v>
      </c>
      <c r="B17" s="5" t="s">
        <v>439</v>
      </c>
      <c r="C17" s="8" t="s">
        <v>520</v>
      </c>
      <c r="D17" s="5">
        <v>33.6</v>
      </c>
      <c r="E17" s="5" t="s">
        <v>495</v>
      </c>
      <c r="F17" s="5">
        <v>30.32</v>
      </c>
      <c r="G17" s="5">
        <v>63.92</v>
      </c>
      <c r="H17" s="5">
        <v>0</v>
      </c>
      <c r="I17" s="5">
        <v>0</v>
      </c>
      <c r="J17" s="5">
        <v>0</v>
      </c>
      <c r="K17" s="5">
        <v>0</v>
      </c>
      <c r="L17" s="5" t="s">
        <v>519</v>
      </c>
      <c r="M17" s="5">
        <v>58</v>
      </c>
      <c r="N17" s="7">
        <f t="shared" si="0"/>
        <v>63.92</v>
      </c>
      <c r="O17" s="7">
        <f t="shared" si="1"/>
        <v>0</v>
      </c>
      <c r="P17" s="7">
        <f t="shared" si="2"/>
        <v>0</v>
      </c>
      <c r="Q17" s="7" t="str">
        <f t="shared" si="3"/>
        <v>✓ 通過</v>
      </c>
      <c r="R17" s="7" t="s">
        <v>99</v>
      </c>
      <c r="S17" s="6"/>
      <c r="T17" s="6"/>
    </row>
    <row r="18" spans="1:20" ht="27.6">
      <c r="A18" s="5" t="s">
        <v>521</v>
      </c>
      <c r="B18" s="5" t="s">
        <v>439</v>
      </c>
      <c r="C18" s="5" t="s">
        <v>522</v>
      </c>
      <c r="D18" s="5">
        <v>33.6</v>
      </c>
      <c r="E18" s="5" t="s">
        <v>498</v>
      </c>
      <c r="F18" s="5">
        <v>46.63</v>
      </c>
      <c r="G18" s="5">
        <v>80.23</v>
      </c>
      <c r="H18" s="5">
        <v>0</v>
      </c>
      <c r="I18" s="5">
        <v>0</v>
      </c>
      <c r="J18" s="5">
        <v>0</v>
      </c>
      <c r="K18" s="5">
        <v>16.309999999999999</v>
      </c>
      <c r="L18" s="5" t="s">
        <v>519</v>
      </c>
      <c r="M18" s="5">
        <v>58</v>
      </c>
      <c r="N18" s="7">
        <f t="shared" si="0"/>
        <v>80.23</v>
      </c>
      <c r="O18" s="7">
        <f t="shared" si="1"/>
        <v>0</v>
      </c>
      <c r="P18" s="7">
        <f t="shared" si="2"/>
        <v>16.310000000000002</v>
      </c>
      <c r="Q18" s="7" t="str">
        <f t="shared" si="3"/>
        <v>✓ 通過</v>
      </c>
      <c r="R18" s="7" t="s">
        <v>99</v>
      </c>
      <c r="S18" s="6"/>
      <c r="T18" s="6"/>
    </row>
    <row r="19" spans="1:20" ht="27.6">
      <c r="A19" s="5" t="s">
        <v>523</v>
      </c>
      <c r="B19" s="5" t="s">
        <v>446</v>
      </c>
      <c r="C19" s="8" t="s">
        <v>524</v>
      </c>
      <c r="D19" s="5">
        <v>16.8</v>
      </c>
      <c r="E19" s="5" t="s">
        <v>495</v>
      </c>
      <c r="F19" s="5">
        <v>30.32</v>
      </c>
      <c r="G19" s="5">
        <v>47.12</v>
      </c>
      <c r="H19" s="5">
        <v>0</v>
      </c>
      <c r="I19" s="5">
        <v>0</v>
      </c>
      <c r="J19" s="5">
        <v>0</v>
      </c>
      <c r="K19" s="5">
        <v>0</v>
      </c>
      <c r="L19" s="5" t="s">
        <v>523</v>
      </c>
      <c r="M19" s="5">
        <v>58</v>
      </c>
      <c r="N19" s="7">
        <f t="shared" si="0"/>
        <v>47.120000000000005</v>
      </c>
      <c r="O19" s="7">
        <f t="shared" si="1"/>
        <v>0</v>
      </c>
      <c r="P19" s="7">
        <f t="shared" si="2"/>
        <v>0</v>
      </c>
      <c r="Q19" s="7" t="str">
        <f t="shared" si="3"/>
        <v>✓ 通過</v>
      </c>
      <c r="R19" s="7" t="s">
        <v>99</v>
      </c>
      <c r="S19" s="6"/>
      <c r="T19" s="6"/>
    </row>
    <row r="20" spans="1:20" ht="27.6">
      <c r="A20" s="5" t="s">
        <v>525</v>
      </c>
      <c r="B20" s="5" t="s">
        <v>446</v>
      </c>
      <c r="C20" s="5" t="s">
        <v>526</v>
      </c>
      <c r="D20" s="5">
        <v>16.8</v>
      </c>
      <c r="E20" s="5" t="s">
        <v>498</v>
      </c>
      <c r="F20" s="5">
        <v>46.63</v>
      </c>
      <c r="G20" s="5">
        <v>63.43</v>
      </c>
      <c r="H20" s="5">
        <v>0</v>
      </c>
      <c r="I20" s="5">
        <v>0</v>
      </c>
      <c r="J20" s="5">
        <v>0</v>
      </c>
      <c r="K20" s="5">
        <v>16.309999999999999</v>
      </c>
      <c r="L20" s="5" t="s">
        <v>523</v>
      </c>
      <c r="M20" s="5">
        <v>58</v>
      </c>
      <c r="N20" s="7">
        <f t="shared" si="0"/>
        <v>63.430000000000007</v>
      </c>
      <c r="O20" s="7">
        <f t="shared" si="1"/>
        <v>0</v>
      </c>
      <c r="P20" s="7">
        <f t="shared" si="2"/>
        <v>16.310000000000002</v>
      </c>
      <c r="Q20" s="7" t="str">
        <f t="shared" si="3"/>
        <v>✓ 通過</v>
      </c>
      <c r="R20" s="7" t="s">
        <v>99</v>
      </c>
      <c r="S20" s="6"/>
      <c r="T20" s="6"/>
    </row>
    <row r="21" spans="1:20" ht="27.6">
      <c r="A21" s="5" t="s">
        <v>527</v>
      </c>
      <c r="B21" s="5" t="s">
        <v>453</v>
      </c>
      <c r="C21" s="8" t="s">
        <v>528</v>
      </c>
      <c r="D21" s="5">
        <v>22.4</v>
      </c>
      <c r="E21" s="5" t="s">
        <v>495</v>
      </c>
      <c r="F21" s="5">
        <v>30.32</v>
      </c>
      <c r="G21" s="5">
        <v>52.72</v>
      </c>
      <c r="H21" s="5">
        <v>0</v>
      </c>
      <c r="I21" s="5">
        <v>0</v>
      </c>
      <c r="J21" s="5">
        <v>0</v>
      </c>
      <c r="K21" s="5">
        <v>0</v>
      </c>
      <c r="L21" s="5" t="s">
        <v>527</v>
      </c>
      <c r="M21" s="5">
        <v>58</v>
      </c>
      <c r="N21" s="7">
        <f t="shared" si="0"/>
        <v>52.72</v>
      </c>
      <c r="O21" s="7">
        <f t="shared" si="1"/>
        <v>0</v>
      </c>
      <c r="P21" s="7">
        <f t="shared" si="2"/>
        <v>0</v>
      </c>
      <c r="Q21" s="7" t="str">
        <f t="shared" si="3"/>
        <v>✓ 通過</v>
      </c>
      <c r="R21" s="7" t="s">
        <v>99</v>
      </c>
      <c r="S21" s="6"/>
      <c r="T21" s="6"/>
    </row>
    <row r="22" spans="1:20" ht="27.6">
      <c r="A22" s="5" t="s">
        <v>529</v>
      </c>
      <c r="B22" s="5" t="s">
        <v>453</v>
      </c>
      <c r="C22" s="5" t="s">
        <v>530</v>
      </c>
      <c r="D22" s="5">
        <v>22.4</v>
      </c>
      <c r="E22" s="5" t="s">
        <v>498</v>
      </c>
      <c r="F22" s="5">
        <v>46.63</v>
      </c>
      <c r="G22" s="5">
        <v>69.03</v>
      </c>
      <c r="H22" s="5">
        <v>0</v>
      </c>
      <c r="I22" s="5">
        <v>0</v>
      </c>
      <c r="J22" s="5">
        <v>0</v>
      </c>
      <c r="K22" s="5">
        <v>16.309999999999999</v>
      </c>
      <c r="L22" s="5" t="s">
        <v>527</v>
      </c>
      <c r="M22" s="5">
        <v>58</v>
      </c>
      <c r="N22" s="7">
        <f t="shared" si="0"/>
        <v>69.03</v>
      </c>
      <c r="O22" s="7">
        <f t="shared" si="1"/>
        <v>0</v>
      </c>
      <c r="P22" s="7">
        <f t="shared" si="2"/>
        <v>16.310000000000002</v>
      </c>
      <c r="Q22" s="7" t="str">
        <f t="shared" si="3"/>
        <v>✓ 通過</v>
      </c>
      <c r="R22" s="7" t="s">
        <v>99</v>
      </c>
      <c r="S22" s="6"/>
      <c r="T22" s="6"/>
    </row>
    <row r="23" spans="1:20" ht="27.6">
      <c r="A23" s="5" t="s">
        <v>531</v>
      </c>
      <c r="B23" s="5" t="s">
        <v>532</v>
      </c>
      <c r="C23" s="8" t="s">
        <v>533</v>
      </c>
      <c r="D23" s="5">
        <v>28</v>
      </c>
      <c r="E23" s="5" t="s">
        <v>495</v>
      </c>
      <c r="F23" s="5">
        <v>30.32</v>
      </c>
      <c r="G23" s="5">
        <v>58.32</v>
      </c>
      <c r="H23" s="5">
        <v>0</v>
      </c>
      <c r="I23" s="5">
        <v>0</v>
      </c>
      <c r="J23" s="5">
        <v>0</v>
      </c>
      <c r="K23" s="5">
        <v>0</v>
      </c>
      <c r="L23" s="5" t="s">
        <v>531</v>
      </c>
      <c r="M23" s="5">
        <v>58</v>
      </c>
      <c r="N23" s="7">
        <f t="shared" si="0"/>
        <v>58.32</v>
      </c>
      <c r="O23" s="7">
        <f t="shared" si="1"/>
        <v>0</v>
      </c>
      <c r="P23" s="7">
        <f t="shared" si="2"/>
        <v>0</v>
      </c>
      <c r="Q23" s="7" t="str">
        <f t="shared" si="3"/>
        <v>✓ 通過</v>
      </c>
      <c r="R23" s="7" t="s">
        <v>99</v>
      </c>
      <c r="S23" s="6"/>
      <c r="T23" s="6"/>
    </row>
    <row r="24" spans="1:20" ht="27.6">
      <c r="A24" s="5" t="s">
        <v>534</v>
      </c>
      <c r="B24" s="5" t="s">
        <v>532</v>
      </c>
      <c r="C24" s="5" t="s">
        <v>535</v>
      </c>
      <c r="D24" s="5">
        <v>28</v>
      </c>
      <c r="E24" s="5" t="s">
        <v>498</v>
      </c>
      <c r="F24" s="5">
        <v>46.63</v>
      </c>
      <c r="G24" s="5">
        <v>74.63</v>
      </c>
      <c r="H24" s="5">
        <v>0</v>
      </c>
      <c r="I24" s="5">
        <v>0</v>
      </c>
      <c r="J24" s="5">
        <v>0</v>
      </c>
      <c r="K24" s="5">
        <v>16.309999999999999</v>
      </c>
      <c r="L24" s="5" t="s">
        <v>531</v>
      </c>
      <c r="M24" s="5">
        <v>58</v>
      </c>
      <c r="N24" s="7">
        <f t="shared" si="0"/>
        <v>74.63</v>
      </c>
      <c r="O24" s="7">
        <f t="shared" si="1"/>
        <v>0</v>
      </c>
      <c r="P24" s="7">
        <f t="shared" si="2"/>
        <v>16.309999999999995</v>
      </c>
      <c r="Q24" s="7" t="str">
        <f t="shared" si="3"/>
        <v>✓ 通過</v>
      </c>
      <c r="R24" s="7" t="s">
        <v>99</v>
      </c>
      <c r="S24" s="6"/>
      <c r="T24" s="6"/>
    </row>
    <row r="25" spans="1:20" ht="27.6">
      <c r="A25" s="5" t="s">
        <v>536</v>
      </c>
      <c r="B25" s="5" t="s">
        <v>537</v>
      </c>
      <c r="C25" s="8" t="s">
        <v>538</v>
      </c>
      <c r="D25" s="5">
        <v>24</v>
      </c>
      <c r="E25" s="5" t="s">
        <v>495</v>
      </c>
      <c r="F25" s="5">
        <v>30.32</v>
      </c>
      <c r="G25" s="5">
        <v>54.32</v>
      </c>
      <c r="H25" s="5">
        <v>0</v>
      </c>
      <c r="I25" s="5">
        <v>0</v>
      </c>
      <c r="J25" s="5">
        <v>0</v>
      </c>
      <c r="K25" s="5">
        <v>0</v>
      </c>
      <c r="L25" s="5" t="s">
        <v>536</v>
      </c>
      <c r="M25" s="5">
        <v>58</v>
      </c>
      <c r="N25" s="7">
        <f t="shared" si="0"/>
        <v>54.32</v>
      </c>
      <c r="O25" s="7">
        <f t="shared" si="1"/>
        <v>0</v>
      </c>
      <c r="P25" s="7">
        <f t="shared" si="2"/>
        <v>0</v>
      </c>
      <c r="Q25" s="7" t="str">
        <f t="shared" si="3"/>
        <v>✓ 通過</v>
      </c>
      <c r="R25" s="7" t="s">
        <v>99</v>
      </c>
      <c r="S25" s="6"/>
      <c r="T25" s="6"/>
    </row>
    <row r="26" spans="1:20" ht="27.6">
      <c r="A26" s="5" t="s">
        <v>539</v>
      </c>
      <c r="B26" s="5" t="s">
        <v>537</v>
      </c>
      <c r="C26" s="5" t="s">
        <v>540</v>
      </c>
      <c r="D26" s="5">
        <v>24</v>
      </c>
      <c r="E26" s="5" t="s">
        <v>498</v>
      </c>
      <c r="F26" s="5">
        <v>46.63</v>
      </c>
      <c r="G26" s="5">
        <v>70.63</v>
      </c>
      <c r="H26" s="5">
        <v>0</v>
      </c>
      <c r="I26" s="5">
        <v>0</v>
      </c>
      <c r="J26" s="5">
        <v>0</v>
      </c>
      <c r="K26" s="5">
        <v>16.309999999999999</v>
      </c>
      <c r="L26" s="5" t="s">
        <v>536</v>
      </c>
      <c r="M26" s="5">
        <v>58</v>
      </c>
      <c r="N26" s="7">
        <f t="shared" si="0"/>
        <v>70.63</v>
      </c>
      <c r="O26" s="7">
        <f t="shared" si="1"/>
        <v>0</v>
      </c>
      <c r="P26" s="7">
        <f t="shared" si="2"/>
        <v>16.309999999999995</v>
      </c>
      <c r="Q26" s="7" t="str">
        <f t="shared" si="3"/>
        <v>✓ 通過</v>
      </c>
      <c r="R26" s="7" t="s">
        <v>99</v>
      </c>
      <c r="S26" s="6"/>
      <c r="T26" s="6"/>
    </row>
    <row r="27" spans="1:20" ht="27.6">
      <c r="A27" s="5" t="s">
        <v>541</v>
      </c>
      <c r="B27" s="5" t="s">
        <v>542</v>
      </c>
      <c r="C27" s="8" t="s">
        <v>543</v>
      </c>
      <c r="D27" s="5">
        <v>28.8</v>
      </c>
      <c r="E27" s="5" t="s">
        <v>495</v>
      </c>
      <c r="F27" s="5">
        <v>30.32</v>
      </c>
      <c r="G27" s="5">
        <v>59.12</v>
      </c>
      <c r="H27" s="5">
        <v>0</v>
      </c>
      <c r="I27" s="5">
        <v>0</v>
      </c>
      <c r="J27" s="5">
        <v>0</v>
      </c>
      <c r="K27" s="5">
        <v>0</v>
      </c>
      <c r="L27" s="5" t="s">
        <v>541</v>
      </c>
      <c r="M27" s="5">
        <v>58</v>
      </c>
      <c r="N27" s="7">
        <f t="shared" si="0"/>
        <v>59.120000000000005</v>
      </c>
      <c r="O27" s="7">
        <f t="shared" si="1"/>
        <v>0</v>
      </c>
      <c r="P27" s="7">
        <f t="shared" si="2"/>
        <v>0</v>
      </c>
      <c r="Q27" s="7" t="str">
        <f t="shared" si="3"/>
        <v>✓ 通過</v>
      </c>
      <c r="R27" s="7" t="s">
        <v>99</v>
      </c>
      <c r="S27" s="6"/>
      <c r="T27" s="6"/>
    </row>
    <row r="28" spans="1:20" ht="27.6">
      <c r="A28" s="5" t="s">
        <v>544</v>
      </c>
      <c r="B28" s="5" t="s">
        <v>542</v>
      </c>
      <c r="C28" s="5" t="s">
        <v>545</v>
      </c>
      <c r="D28" s="5">
        <v>28.8</v>
      </c>
      <c r="E28" s="5" t="s">
        <v>498</v>
      </c>
      <c r="F28" s="5">
        <v>46.63</v>
      </c>
      <c r="G28" s="5">
        <v>75.430000000000007</v>
      </c>
      <c r="H28" s="5">
        <v>0</v>
      </c>
      <c r="I28" s="5">
        <v>0</v>
      </c>
      <c r="J28" s="5">
        <v>0</v>
      </c>
      <c r="K28" s="5">
        <v>16.309999999999999</v>
      </c>
      <c r="L28" s="5" t="s">
        <v>541</v>
      </c>
      <c r="M28" s="5">
        <v>58</v>
      </c>
      <c r="N28" s="7">
        <f t="shared" si="0"/>
        <v>75.430000000000007</v>
      </c>
      <c r="O28" s="7">
        <f t="shared" si="1"/>
        <v>0</v>
      </c>
      <c r="P28" s="7">
        <f t="shared" si="2"/>
        <v>16.310000000000009</v>
      </c>
      <c r="Q28" s="7" t="str">
        <f t="shared" si="3"/>
        <v>✓ 通過</v>
      </c>
      <c r="R28" s="7" t="s">
        <v>99</v>
      </c>
      <c r="S28" s="6"/>
      <c r="T28" s="6"/>
    </row>
    <row r="29" spans="1:20" ht="27.6">
      <c r="A29" s="5" t="s">
        <v>546</v>
      </c>
      <c r="B29" s="5" t="s">
        <v>547</v>
      </c>
      <c r="C29" s="8" t="s">
        <v>548</v>
      </c>
      <c r="D29" s="5">
        <v>38.4</v>
      </c>
      <c r="E29" s="5" t="s">
        <v>495</v>
      </c>
      <c r="F29" s="5">
        <v>30.32</v>
      </c>
      <c r="G29" s="5">
        <v>68.72</v>
      </c>
      <c r="H29" s="5">
        <v>0</v>
      </c>
      <c r="I29" s="5">
        <v>0</v>
      </c>
      <c r="J29" s="5">
        <v>0</v>
      </c>
      <c r="K29" s="5">
        <v>0</v>
      </c>
      <c r="L29" s="5" t="s">
        <v>546</v>
      </c>
      <c r="M29" s="5">
        <v>58</v>
      </c>
      <c r="N29" s="7">
        <f t="shared" si="0"/>
        <v>68.72</v>
      </c>
      <c r="O29" s="7">
        <f t="shared" si="1"/>
        <v>0</v>
      </c>
      <c r="P29" s="7">
        <f t="shared" si="2"/>
        <v>0</v>
      </c>
      <c r="Q29" s="7" t="str">
        <f t="shared" si="3"/>
        <v>✓ 通過</v>
      </c>
      <c r="R29" s="7" t="s">
        <v>99</v>
      </c>
      <c r="S29" s="6"/>
      <c r="T29" s="6"/>
    </row>
    <row r="30" spans="1:20" ht="27.6">
      <c r="A30" s="5" t="s">
        <v>549</v>
      </c>
      <c r="B30" s="5" t="s">
        <v>547</v>
      </c>
      <c r="C30" s="5" t="s">
        <v>550</v>
      </c>
      <c r="D30" s="5">
        <v>38.4</v>
      </c>
      <c r="E30" s="5" t="s">
        <v>498</v>
      </c>
      <c r="F30" s="5">
        <v>46.63</v>
      </c>
      <c r="G30" s="5">
        <v>85.03</v>
      </c>
      <c r="H30" s="5">
        <v>0</v>
      </c>
      <c r="I30" s="5">
        <v>0</v>
      </c>
      <c r="J30" s="5">
        <v>0</v>
      </c>
      <c r="K30" s="5">
        <v>16.309999999999999</v>
      </c>
      <c r="L30" s="5" t="s">
        <v>546</v>
      </c>
      <c r="M30" s="5">
        <v>58</v>
      </c>
      <c r="N30" s="7">
        <f t="shared" si="0"/>
        <v>85.03</v>
      </c>
      <c r="O30" s="7">
        <f t="shared" si="1"/>
        <v>0</v>
      </c>
      <c r="P30" s="7">
        <f t="shared" si="2"/>
        <v>16.310000000000002</v>
      </c>
      <c r="Q30" s="7" t="str">
        <f t="shared" si="3"/>
        <v>✓ 通過</v>
      </c>
      <c r="R30" s="7" t="s">
        <v>99</v>
      </c>
      <c r="S30" s="6"/>
      <c r="T30" s="6"/>
    </row>
    <row r="31" spans="1:20" ht="27.6">
      <c r="A31" s="5" t="s">
        <v>551</v>
      </c>
      <c r="B31" s="5" t="s">
        <v>552</v>
      </c>
      <c r="C31" s="8" t="s">
        <v>553</v>
      </c>
      <c r="D31" s="5">
        <v>39.299999999999997</v>
      </c>
      <c r="E31" s="5" t="s">
        <v>495</v>
      </c>
      <c r="F31" s="5">
        <v>30.32</v>
      </c>
      <c r="G31" s="5">
        <v>69.62</v>
      </c>
      <c r="H31" s="5">
        <v>0</v>
      </c>
      <c r="I31" s="5">
        <v>0</v>
      </c>
      <c r="J31" s="5">
        <v>0</v>
      </c>
      <c r="K31" s="5">
        <v>0</v>
      </c>
      <c r="L31" s="5" t="s">
        <v>551</v>
      </c>
      <c r="M31" s="5">
        <v>58</v>
      </c>
      <c r="N31" s="7">
        <f t="shared" si="0"/>
        <v>69.62</v>
      </c>
      <c r="O31" s="7">
        <f t="shared" si="1"/>
        <v>0</v>
      </c>
      <c r="P31" s="7">
        <f t="shared" si="2"/>
        <v>0</v>
      </c>
      <c r="Q31" s="7" t="str">
        <f t="shared" si="3"/>
        <v>✓ 通過</v>
      </c>
      <c r="R31" s="7" t="s">
        <v>99</v>
      </c>
      <c r="S31" s="6"/>
      <c r="T31" s="6"/>
    </row>
    <row r="32" spans="1:20" ht="27.6">
      <c r="A32" s="5" t="s">
        <v>554</v>
      </c>
      <c r="B32" s="5" t="s">
        <v>552</v>
      </c>
      <c r="C32" s="5" t="s">
        <v>555</v>
      </c>
      <c r="D32" s="5">
        <v>39.299999999999997</v>
      </c>
      <c r="E32" s="5" t="s">
        <v>498</v>
      </c>
      <c r="F32" s="5">
        <v>46.63</v>
      </c>
      <c r="G32" s="5">
        <v>85.93</v>
      </c>
      <c r="H32" s="5">
        <v>0</v>
      </c>
      <c r="I32" s="5">
        <v>0</v>
      </c>
      <c r="J32" s="5">
        <v>0</v>
      </c>
      <c r="K32" s="5">
        <v>16.309999999999999</v>
      </c>
      <c r="L32" s="5" t="s">
        <v>551</v>
      </c>
      <c r="M32" s="5">
        <v>58</v>
      </c>
      <c r="N32" s="7">
        <f t="shared" si="0"/>
        <v>85.93</v>
      </c>
      <c r="O32" s="7">
        <f t="shared" si="1"/>
        <v>0</v>
      </c>
      <c r="P32" s="7">
        <f t="shared" si="2"/>
        <v>16.310000000000002</v>
      </c>
      <c r="Q32" s="7" t="str">
        <f t="shared" si="3"/>
        <v>✓ 通過</v>
      </c>
      <c r="R32" s="7" t="s">
        <v>99</v>
      </c>
      <c r="S32" s="6"/>
      <c r="T32" s="6"/>
    </row>
    <row r="33" spans="1:20" ht="27.6">
      <c r="A33" s="5" t="s">
        <v>556</v>
      </c>
      <c r="B33" s="5" t="s">
        <v>557</v>
      </c>
      <c r="C33" s="8" t="s">
        <v>558</v>
      </c>
      <c r="D33" s="5">
        <v>52.4</v>
      </c>
      <c r="E33" s="5" t="s">
        <v>495</v>
      </c>
      <c r="F33" s="5">
        <v>30.32</v>
      </c>
      <c r="G33" s="5">
        <v>82.72</v>
      </c>
      <c r="H33" s="5">
        <v>0</v>
      </c>
      <c r="I33" s="5">
        <v>0</v>
      </c>
      <c r="J33" s="5">
        <v>0</v>
      </c>
      <c r="K33" s="5">
        <v>0</v>
      </c>
      <c r="L33" s="5" t="s">
        <v>556</v>
      </c>
      <c r="M33" s="5">
        <v>58</v>
      </c>
      <c r="N33" s="7">
        <f t="shared" si="0"/>
        <v>82.72</v>
      </c>
      <c r="O33" s="7">
        <f t="shared" si="1"/>
        <v>0</v>
      </c>
      <c r="P33" s="7">
        <f t="shared" si="2"/>
        <v>0</v>
      </c>
      <c r="Q33" s="7" t="str">
        <f t="shared" si="3"/>
        <v>✓ 通過</v>
      </c>
      <c r="R33" s="7" t="s">
        <v>99</v>
      </c>
      <c r="S33" s="6"/>
      <c r="T33" s="6"/>
    </row>
    <row r="34" spans="1:20" ht="27.6">
      <c r="A34" s="5" t="s">
        <v>559</v>
      </c>
      <c r="B34" s="5" t="s">
        <v>557</v>
      </c>
      <c r="C34" s="5" t="s">
        <v>560</v>
      </c>
      <c r="D34" s="5">
        <v>52.4</v>
      </c>
      <c r="E34" s="5" t="s">
        <v>498</v>
      </c>
      <c r="F34" s="5">
        <v>46.63</v>
      </c>
      <c r="G34" s="5">
        <v>99.03</v>
      </c>
      <c r="H34" s="5">
        <v>0</v>
      </c>
      <c r="I34" s="5">
        <v>0</v>
      </c>
      <c r="J34" s="5">
        <v>0</v>
      </c>
      <c r="K34" s="5">
        <v>16.309999999999999</v>
      </c>
      <c r="L34" s="5" t="s">
        <v>556</v>
      </c>
      <c r="M34" s="5">
        <v>58</v>
      </c>
      <c r="N34" s="7">
        <f t="shared" si="0"/>
        <v>99.03</v>
      </c>
      <c r="O34" s="7">
        <f t="shared" si="1"/>
        <v>0</v>
      </c>
      <c r="P34" s="7">
        <f t="shared" si="2"/>
        <v>16.310000000000002</v>
      </c>
      <c r="Q34" s="7" t="str">
        <f t="shared" si="3"/>
        <v>✓ 通過</v>
      </c>
      <c r="R34" s="7" t="s">
        <v>99</v>
      </c>
      <c r="S34" s="6"/>
      <c r="T34" s="6"/>
    </row>
  </sheetData>
  <autoFilter ref="A4:T34" xr:uid="{00000000-0009-0000-0000-000005000000}"/>
  <mergeCells count="1">
    <mergeCell ref="A2:T2"/>
  </mergeCells>
  <phoneticPr fontId="5" type="noConversion"/>
  <conditionalFormatting sqref="Q5:Q34">
    <cfRule type="expression" dxfId="9" priority="1">
      <formula>LEFT(Q5,1)="⚠"</formula>
    </cfRule>
  </conditionalFormatting>
  <conditionalFormatting sqref="R5:R34">
    <cfRule type="expression" dxfId="8" priority="2">
      <formula>R5&lt;&gt;"一致"</formula>
    </cfRule>
  </conditionalFormatting>
  <dataValidations count="1">
    <dataValidation type="list" allowBlank="1" sqref="S5:S34" xr:uid="{00000000-0002-0000-0500-000000000000}">
      <formula1>"✓ 正確,✗ 有誤,? 不確定"</formula1>
    </dataValidation>
  </dataValidations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0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/>
  <cols>
    <col min="1" max="1" width="15" customWidth="1"/>
    <col min="2" max="2" width="34" customWidth="1"/>
    <col min="3" max="3" width="11" customWidth="1"/>
    <col min="4" max="5" width="8" customWidth="1"/>
    <col min="6" max="6" width="12" customWidth="1"/>
    <col min="7" max="7" width="10" customWidth="1"/>
    <col min="8" max="8" width="14" customWidth="1"/>
    <col min="9" max="12" width="9" customWidth="1"/>
    <col min="13" max="13" width="16" customWidth="1"/>
    <col min="14" max="14" width="22" customWidth="1"/>
    <col min="15" max="15" width="11" customWidth="1"/>
    <col min="16" max="16" width="24" customWidth="1"/>
  </cols>
  <sheetData>
    <row r="1" spans="1:16" ht="18">
      <c r="A1" s="1" t="s">
        <v>561</v>
      </c>
    </row>
    <row r="2" spans="1:16" ht="48" customHeight="1">
      <c r="A2" s="9" t="s">
        <v>562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4" spans="1:16" ht="42" customHeight="1">
      <c r="A4" s="4" t="s">
        <v>78</v>
      </c>
      <c r="B4" s="4" t="s">
        <v>353</v>
      </c>
      <c r="C4" s="4" t="s">
        <v>563</v>
      </c>
      <c r="D4" s="4" t="s">
        <v>359</v>
      </c>
      <c r="E4" s="4" t="s">
        <v>360</v>
      </c>
      <c r="F4" s="4" t="s">
        <v>564</v>
      </c>
      <c r="G4" s="4" t="s">
        <v>565</v>
      </c>
      <c r="H4" s="4" t="s">
        <v>363</v>
      </c>
      <c r="I4" s="4" t="s">
        <v>89</v>
      </c>
      <c r="J4" s="4" t="s">
        <v>364</v>
      </c>
      <c r="K4" s="4" t="s">
        <v>365</v>
      </c>
      <c r="L4" s="4" t="s">
        <v>366</v>
      </c>
      <c r="M4" s="4" t="s">
        <v>91</v>
      </c>
      <c r="N4" s="4" t="s">
        <v>92</v>
      </c>
      <c r="O4" s="4" t="s">
        <v>93</v>
      </c>
      <c r="P4" s="4" t="s">
        <v>33</v>
      </c>
    </row>
    <row r="5" spans="1:16">
      <c r="A5" s="5" t="s">
        <v>566</v>
      </c>
      <c r="B5" s="8" t="s">
        <v>567</v>
      </c>
      <c r="C5" s="5">
        <v>73.67</v>
      </c>
      <c r="D5" s="5">
        <v>0</v>
      </c>
      <c r="E5" s="5">
        <v>0</v>
      </c>
      <c r="F5" s="5">
        <v>0</v>
      </c>
      <c r="G5" s="5">
        <v>0</v>
      </c>
      <c r="H5" s="5" t="s">
        <v>566</v>
      </c>
      <c r="I5" s="5">
        <v>59</v>
      </c>
      <c r="J5" s="7">
        <f t="shared" ref="J5:J10" si="0">C5+0</f>
        <v>73.67</v>
      </c>
      <c r="K5" s="7">
        <f t="shared" ref="K5:K10" si="1">C5*D5+0*E5</f>
        <v>0</v>
      </c>
      <c r="L5" s="7">
        <f t="shared" ref="L5:L10" si="2">IFERROR((C5+F5)-(INDEX($C$5:$C$10,MATCH(H5,$A$5:$A$10,0))+INDEX($F$5:$F$10,MATCH(H5,$A$5:$A$10,0))),"無基準")</f>
        <v>0</v>
      </c>
      <c r="M5" s="7" t="str">
        <f t="shared" ref="M5:M10" si="3">IF(ISNUMBER(L5),IF(AND(ABS(J5-C5)&lt;=0.02,ABS(K5-F5)&lt;=0.02,ABS(L5-G5)&lt;=0.02),"✓ 通過","⚠ "&amp;IF(ABS(J5-C5)&gt;0.02,"新建不符 ","")&amp;IF(ABS(K5-F5)&gt;0.02,"更新不符 ","")&amp;IF(ABS(L5-G5)&gt;0.02,"減碳量不符","")),"⚠ 找不到基準")</f>
        <v>✓ 通過</v>
      </c>
      <c r="N5" s="7" t="s">
        <v>99</v>
      </c>
      <c r="O5" s="6"/>
      <c r="P5" s="6"/>
    </row>
    <row r="6" spans="1:16">
      <c r="A6" s="5" t="s">
        <v>568</v>
      </c>
      <c r="B6" s="5" t="s">
        <v>569</v>
      </c>
      <c r="C6" s="5">
        <v>58.12</v>
      </c>
      <c r="D6" s="5">
        <v>0</v>
      </c>
      <c r="E6" s="5">
        <v>0</v>
      </c>
      <c r="F6" s="5">
        <v>0</v>
      </c>
      <c r="G6" s="5">
        <v>-15.55</v>
      </c>
      <c r="H6" s="5" t="s">
        <v>566</v>
      </c>
      <c r="I6" s="5">
        <v>59</v>
      </c>
      <c r="J6" s="7">
        <f t="shared" si="0"/>
        <v>58.12</v>
      </c>
      <c r="K6" s="7">
        <f t="shared" si="1"/>
        <v>0</v>
      </c>
      <c r="L6" s="7">
        <f t="shared" si="2"/>
        <v>-15.550000000000004</v>
      </c>
      <c r="M6" s="7" t="str">
        <f t="shared" si="3"/>
        <v>✓ 通過</v>
      </c>
      <c r="N6" s="7" t="s">
        <v>99</v>
      </c>
      <c r="O6" s="6"/>
      <c r="P6" s="6"/>
    </row>
    <row r="7" spans="1:16">
      <c r="A7" s="5" t="s">
        <v>570</v>
      </c>
      <c r="B7" s="5" t="s">
        <v>571</v>
      </c>
      <c r="C7" s="5">
        <v>69.62</v>
      </c>
      <c r="D7" s="5">
        <v>0</v>
      </c>
      <c r="E7" s="5">
        <v>0</v>
      </c>
      <c r="F7" s="5">
        <v>0</v>
      </c>
      <c r="G7" s="5">
        <v>-4.05</v>
      </c>
      <c r="H7" s="5" t="s">
        <v>566</v>
      </c>
      <c r="I7" s="5">
        <v>59</v>
      </c>
      <c r="J7" s="7">
        <f t="shared" si="0"/>
        <v>69.62</v>
      </c>
      <c r="K7" s="7">
        <f t="shared" si="1"/>
        <v>0</v>
      </c>
      <c r="L7" s="7">
        <f t="shared" si="2"/>
        <v>-4.0499999999999972</v>
      </c>
      <c r="M7" s="7" t="str">
        <f t="shared" si="3"/>
        <v>✓ 通過</v>
      </c>
      <c r="N7" s="7" t="s">
        <v>99</v>
      </c>
      <c r="O7" s="6"/>
      <c r="P7" s="6"/>
    </row>
    <row r="8" spans="1:16">
      <c r="A8" s="5" t="s">
        <v>572</v>
      </c>
      <c r="B8" s="5" t="s">
        <v>573</v>
      </c>
      <c r="C8" s="5">
        <v>39.950000000000003</v>
      </c>
      <c r="D8" s="5">
        <v>0</v>
      </c>
      <c r="E8" s="5">
        <v>0</v>
      </c>
      <c r="F8" s="5">
        <v>0</v>
      </c>
      <c r="G8" s="5">
        <v>-33.72</v>
      </c>
      <c r="H8" s="5" t="s">
        <v>566</v>
      </c>
      <c r="I8" s="5">
        <v>59</v>
      </c>
      <c r="J8" s="7">
        <f t="shared" si="0"/>
        <v>39.950000000000003</v>
      </c>
      <c r="K8" s="7">
        <f t="shared" si="1"/>
        <v>0</v>
      </c>
      <c r="L8" s="7">
        <f t="shared" si="2"/>
        <v>-33.72</v>
      </c>
      <c r="M8" s="7" t="str">
        <f t="shared" si="3"/>
        <v>✓ 通過</v>
      </c>
      <c r="N8" s="7" t="s">
        <v>99</v>
      </c>
      <c r="O8" s="6"/>
      <c r="P8" s="6"/>
    </row>
    <row r="9" spans="1:16">
      <c r="A9" s="5" t="s">
        <v>574</v>
      </c>
      <c r="B9" s="5" t="s">
        <v>575</v>
      </c>
      <c r="C9" s="5">
        <v>102.57</v>
      </c>
      <c r="D9" s="5">
        <v>0</v>
      </c>
      <c r="E9" s="5">
        <v>0</v>
      </c>
      <c r="F9" s="5">
        <v>0</v>
      </c>
      <c r="G9" s="5">
        <v>28.9</v>
      </c>
      <c r="H9" s="5" t="s">
        <v>566</v>
      </c>
      <c r="I9" s="5">
        <v>59</v>
      </c>
      <c r="J9" s="7">
        <f t="shared" si="0"/>
        <v>102.57</v>
      </c>
      <c r="K9" s="7">
        <f t="shared" si="1"/>
        <v>0</v>
      </c>
      <c r="L9" s="7">
        <f t="shared" si="2"/>
        <v>28.899999999999991</v>
      </c>
      <c r="M9" s="7" t="str">
        <f t="shared" si="3"/>
        <v>✓ 通過</v>
      </c>
      <c r="N9" s="7" t="s">
        <v>99</v>
      </c>
      <c r="O9" s="6"/>
      <c r="P9" s="6"/>
    </row>
    <row r="10" spans="1:16">
      <c r="A10" s="5" t="s">
        <v>576</v>
      </c>
      <c r="B10" s="5" t="s">
        <v>577</v>
      </c>
      <c r="C10" s="5">
        <v>80</v>
      </c>
      <c r="D10" s="5">
        <v>0</v>
      </c>
      <c r="E10" s="5">
        <v>0</v>
      </c>
      <c r="F10" s="5">
        <v>0</v>
      </c>
      <c r="G10" s="5">
        <v>6.33</v>
      </c>
      <c r="H10" s="5" t="s">
        <v>566</v>
      </c>
      <c r="I10" s="5">
        <v>59</v>
      </c>
      <c r="J10" s="7">
        <f t="shared" si="0"/>
        <v>80</v>
      </c>
      <c r="K10" s="7">
        <f t="shared" si="1"/>
        <v>0</v>
      </c>
      <c r="L10" s="7">
        <f t="shared" si="2"/>
        <v>6.3299999999999983</v>
      </c>
      <c r="M10" s="7" t="str">
        <f t="shared" si="3"/>
        <v>✓ 通過</v>
      </c>
      <c r="N10" s="7" t="s">
        <v>99</v>
      </c>
      <c r="O10" s="6"/>
      <c r="P10" s="6"/>
    </row>
  </sheetData>
  <autoFilter ref="A4:P10" xr:uid="{00000000-0009-0000-0000-000006000000}"/>
  <mergeCells count="1">
    <mergeCell ref="A2:P2"/>
  </mergeCells>
  <phoneticPr fontId="5" type="noConversion"/>
  <conditionalFormatting sqref="M5:M10">
    <cfRule type="expression" dxfId="7" priority="1">
      <formula>LEFT(M5,1)="⚠"</formula>
    </cfRule>
  </conditionalFormatting>
  <conditionalFormatting sqref="N5:N10">
    <cfRule type="expression" dxfId="6" priority="2">
      <formula>N5&lt;&gt;"一致"</formula>
    </cfRule>
  </conditionalFormatting>
  <dataValidations count="1">
    <dataValidation type="list" allowBlank="1" sqref="O5:O10" xr:uid="{00000000-0002-0000-0600-000000000000}">
      <formula1>"✓ 正確,✗ 有誤,? 不確定"</formula1>
    </dataValidation>
  </dataValidations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22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/>
  <cols>
    <col min="1" max="1" width="15" customWidth="1"/>
    <col min="2" max="2" width="10" customWidth="1"/>
    <col min="3" max="3" width="34" customWidth="1"/>
    <col min="4" max="4" width="11" customWidth="1"/>
    <col min="5" max="6" width="8" customWidth="1"/>
    <col min="7" max="7" width="12" customWidth="1"/>
    <col min="8" max="8" width="10" customWidth="1"/>
    <col min="9" max="9" width="14" customWidth="1"/>
    <col min="10" max="13" width="9" customWidth="1"/>
    <col min="14" max="14" width="16" customWidth="1"/>
    <col min="15" max="15" width="22" customWidth="1"/>
    <col min="16" max="16" width="11" customWidth="1"/>
    <col min="17" max="17" width="24" customWidth="1"/>
  </cols>
  <sheetData>
    <row r="1" spans="1:17" ht="18">
      <c r="A1" s="1" t="s">
        <v>578</v>
      </c>
    </row>
    <row r="2" spans="1:17" ht="48" customHeight="1">
      <c r="A2" s="9" t="s">
        <v>579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4" spans="1:17" ht="42" customHeight="1">
      <c r="A4" s="4" t="s">
        <v>78</v>
      </c>
      <c r="B4" s="4" t="s">
        <v>580</v>
      </c>
      <c r="C4" s="4" t="s">
        <v>353</v>
      </c>
      <c r="D4" s="4" t="s">
        <v>581</v>
      </c>
      <c r="E4" s="4" t="s">
        <v>359</v>
      </c>
      <c r="F4" s="4" t="s">
        <v>360</v>
      </c>
      <c r="G4" s="4" t="s">
        <v>582</v>
      </c>
      <c r="H4" s="4" t="s">
        <v>583</v>
      </c>
      <c r="I4" s="4" t="s">
        <v>363</v>
      </c>
      <c r="J4" s="4" t="s">
        <v>89</v>
      </c>
      <c r="K4" s="4" t="s">
        <v>364</v>
      </c>
      <c r="L4" s="4" t="s">
        <v>365</v>
      </c>
      <c r="M4" s="4" t="s">
        <v>366</v>
      </c>
      <c r="N4" s="4" t="s">
        <v>91</v>
      </c>
      <c r="O4" s="4" t="s">
        <v>92</v>
      </c>
      <c r="P4" s="4" t="s">
        <v>93</v>
      </c>
      <c r="Q4" s="4" t="s">
        <v>33</v>
      </c>
    </row>
    <row r="5" spans="1:17">
      <c r="A5" s="5" t="s">
        <v>584</v>
      </c>
      <c r="B5" s="5" t="s">
        <v>585</v>
      </c>
      <c r="C5" s="8" t="s">
        <v>586</v>
      </c>
      <c r="D5" s="5">
        <v>56.28</v>
      </c>
      <c r="E5" s="5">
        <v>2</v>
      </c>
      <c r="F5" s="5">
        <v>2</v>
      </c>
      <c r="G5" s="5">
        <v>112.56</v>
      </c>
      <c r="H5" s="5">
        <v>0</v>
      </c>
      <c r="I5" s="5" t="s">
        <v>584</v>
      </c>
      <c r="J5" s="5">
        <v>59</v>
      </c>
      <c r="K5" s="7">
        <f t="shared" ref="K5:K22" si="0">D5+0</f>
        <v>56.28</v>
      </c>
      <c r="L5" s="7">
        <f t="shared" ref="L5:L22" si="1">D5*E5+0*F5</f>
        <v>112.56</v>
      </c>
      <c r="M5" s="7">
        <f t="shared" ref="M5:M22" si="2">IFERROR((D5+G5)-(INDEX($D$5:$D$22,MATCH(I5,$A$5:$A$22,0))+INDEX($G$5:$G$22,MATCH(I5,$A$5:$A$22,0))),"無基準")</f>
        <v>0</v>
      </c>
      <c r="N5" s="7" t="str">
        <f t="shared" ref="N5:N22" si="3">IF(ISNUMBER(M5),IF(AND(ABS(K5-D5)&lt;=0.02,ABS(L5-G5)&lt;=0.02,ABS(M5-H5)&lt;=0.02),"✓ 通過","⚠ "&amp;IF(ABS(K5-D5)&gt;0.02,"新建不符 ","")&amp;IF(ABS(L5-G5)&gt;0.02,"更新不符 ","")&amp;IF(ABS(M5-H5)&gt;0.02,"減碳量不符","")),"⚠ 找不到基準")</f>
        <v>✓ 通過</v>
      </c>
      <c r="O5" s="7" t="s">
        <v>99</v>
      </c>
      <c r="P5" s="6"/>
      <c r="Q5" s="6"/>
    </row>
    <row r="6" spans="1:17">
      <c r="A6" s="5" t="s">
        <v>587</v>
      </c>
      <c r="B6" s="5" t="s">
        <v>585</v>
      </c>
      <c r="C6" s="5" t="s">
        <v>588</v>
      </c>
      <c r="D6" s="5">
        <v>31.83</v>
      </c>
      <c r="E6" s="5">
        <v>2</v>
      </c>
      <c r="F6" s="5">
        <v>2</v>
      </c>
      <c r="G6" s="5">
        <v>63.66</v>
      </c>
      <c r="H6" s="5">
        <v>-73.349999999999994</v>
      </c>
      <c r="I6" s="5" t="s">
        <v>584</v>
      </c>
      <c r="J6" s="5">
        <v>59</v>
      </c>
      <c r="K6" s="7">
        <f t="shared" si="0"/>
        <v>31.83</v>
      </c>
      <c r="L6" s="7">
        <f t="shared" si="1"/>
        <v>63.66</v>
      </c>
      <c r="M6" s="7">
        <f t="shared" si="2"/>
        <v>-73.350000000000009</v>
      </c>
      <c r="N6" s="7" t="str">
        <f t="shared" si="3"/>
        <v>✓ 通過</v>
      </c>
      <c r="O6" s="7" t="s">
        <v>99</v>
      </c>
      <c r="P6" s="6"/>
      <c r="Q6" s="6"/>
    </row>
    <row r="7" spans="1:17">
      <c r="A7" s="5" t="s">
        <v>589</v>
      </c>
      <c r="B7" s="5" t="s">
        <v>585</v>
      </c>
      <c r="C7" s="5" t="s">
        <v>590</v>
      </c>
      <c r="D7" s="5">
        <v>22.33</v>
      </c>
      <c r="E7" s="5">
        <v>2</v>
      </c>
      <c r="F7" s="5">
        <v>2</v>
      </c>
      <c r="G7" s="5">
        <v>44.66</v>
      </c>
      <c r="H7" s="5">
        <v>-101.85</v>
      </c>
      <c r="I7" s="5" t="s">
        <v>584</v>
      </c>
      <c r="J7" s="5">
        <v>59</v>
      </c>
      <c r="K7" s="7">
        <f t="shared" si="0"/>
        <v>22.33</v>
      </c>
      <c r="L7" s="7">
        <f t="shared" si="1"/>
        <v>44.66</v>
      </c>
      <c r="M7" s="7">
        <f t="shared" si="2"/>
        <v>-101.85000000000001</v>
      </c>
      <c r="N7" s="7" t="str">
        <f t="shared" si="3"/>
        <v>✓ 通過</v>
      </c>
      <c r="O7" s="7" t="s">
        <v>99</v>
      </c>
      <c r="P7" s="6"/>
      <c r="Q7" s="6"/>
    </row>
    <row r="8" spans="1:17">
      <c r="A8" s="5" t="s">
        <v>591</v>
      </c>
      <c r="B8" s="5" t="s">
        <v>585</v>
      </c>
      <c r="C8" s="5" t="s">
        <v>592</v>
      </c>
      <c r="D8" s="5">
        <v>70.31</v>
      </c>
      <c r="E8" s="5">
        <v>2</v>
      </c>
      <c r="F8" s="5">
        <v>2</v>
      </c>
      <c r="G8" s="5">
        <v>140.62</v>
      </c>
      <c r="H8" s="5">
        <v>42.09</v>
      </c>
      <c r="I8" s="5" t="s">
        <v>584</v>
      </c>
      <c r="J8" s="5">
        <v>59</v>
      </c>
      <c r="K8" s="7">
        <f t="shared" si="0"/>
        <v>70.31</v>
      </c>
      <c r="L8" s="7">
        <f t="shared" si="1"/>
        <v>140.62</v>
      </c>
      <c r="M8" s="7">
        <f t="shared" si="2"/>
        <v>42.09</v>
      </c>
      <c r="N8" s="7" t="str">
        <f t="shared" si="3"/>
        <v>✓ 通過</v>
      </c>
      <c r="O8" s="7" t="s">
        <v>99</v>
      </c>
      <c r="P8" s="6"/>
      <c r="Q8" s="6"/>
    </row>
    <row r="9" spans="1:17">
      <c r="A9" s="5" t="s">
        <v>593</v>
      </c>
      <c r="B9" s="5" t="s">
        <v>585</v>
      </c>
      <c r="C9" s="5" t="s">
        <v>594</v>
      </c>
      <c r="D9" s="5">
        <v>9.15</v>
      </c>
      <c r="E9" s="5">
        <v>2</v>
      </c>
      <c r="F9" s="5">
        <v>2</v>
      </c>
      <c r="G9" s="5">
        <v>18.3</v>
      </c>
      <c r="H9" s="5">
        <v>-141.38999999999999</v>
      </c>
      <c r="I9" s="5" t="s">
        <v>584</v>
      </c>
      <c r="J9" s="5">
        <v>59</v>
      </c>
      <c r="K9" s="7">
        <f t="shared" si="0"/>
        <v>9.15</v>
      </c>
      <c r="L9" s="7">
        <f t="shared" si="1"/>
        <v>18.3</v>
      </c>
      <c r="M9" s="7">
        <f t="shared" si="2"/>
        <v>-141.38999999999999</v>
      </c>
      <c r="N9" s="7" t="str">
        <f t="shared" si="3"/>
        <v>✓ 通過</v>
      </c>
      <c r="O9" s="7" t="s">
        <v>99</v>
      </c>
      <c r="P9" s="6"/>
      <c r="Q9" s="6"/>
    </row>
    <row r="10" spans="1:17">
      <c r="A10" s="5" t="s">
        <v>595</v>
      </c>
      <c r="B10" s="5" t="s">
        <v>585</v>
      </c>
      <c r="C10" s="5" t="s">
        <v>596</v>
      </c>
      <c r="D10" s="5">
        <v>27.25</v>
      </c>
      <c r="E10" s="5">
        <v>2</v>
      </c>
      <c r="F10" s="5">
        <v>2</v>
      </c>
      <c r="G10" s="5">
        <v>54.5</v>
      </c>
      <c r="H10" s="5">
        <v>-87.09</v>
      </c>
      <c r="I10" s="5" t="s">
        <v>584</v>
      </c>
      <c r="J10" s="5">
        <v>59</v>
      </c>
      <c r="K10" s="7">
        <f t="shared" si="0"/>
        <v>27.25</v>
      </c>
      <c r="L10" s="7">
        <f t="shared" si="1"/>
        <v>54.5</v>
      </c>
      <c r="M10" s="7">
        <f t="shared" si="2"/>
        <v>-87.09</v>
      </c>
      <c r="N10" s="7" t="str">
        <f t="shared" si="3"/>
        <v>✓ 通過</v>
      </c>
      <c r="O10" s="7" t="s">
        <v>99</v>
      </c>
      <c r="P10" s="6"/>
      <c r="Q10" s="6"/>
    </row>
    <row r="11" spans="1:17">
      <c r="A11" s="5" t="s">
        <v>597</v>
      </c>
      <c r="B11" s="5" t="s">
        <v>598</v>
      </c>
      <c r="C11" s="8" t="s">
        <v>586</v>
      </c>
      <c r="D11" s="5">
        <v>56.28</v>
      </c>
      <c r="E11" s="5">
        <v>1</v>
      </c>
      <c r="F11" s="5">
        <v>1</v>
      </c>
      <c r="G11" s="5">
        <v>56.28</v>
      </c>
      <c r="H11" s="5">
        <v>0</v>
      </c>
      <c r="I11" s="5" t="s">
        <v>597</v>
      </c>
      <c r="J11" s="5">
        <v>59</v>
      </c>
      <c r="K11" s="7">
        <f t="shared" si="0"/>
        <v>56.28</v>
      </c>
      <c r="L11" s="7">
        <f t="shared" si="1"/>
        <v>56.28</v>
      </c>
      <c r="M11" s="7">
        <f t="shared" si="2"/>
        <v>0</v>
      </c>
      <c r="N11" s="7" t="str">
        <f t="shared" si="3"/>
        <v>✓ 通過</v>
      </c>
      <c r="O11" s="7" t="s">
        <v>99</v>
      </c>
      <c r="P11" s="6"/>
      <c r="Q11" s="6"/>
    </row>
    <row r="12" spans="1:17">
      <c r="A12" s="5" t="s">
        <v>599</v>
      </c>
      <c r="B12" s="5" t="s">
        <v>598</v>
      </c>
      <c r="C12" s="5" t="s">
        <v>588</v>
      </c>
      <c r="D12" s="5">
        <v>31.83</v>
      </c>
      <c r="E12" s="5">
        <v>1</v>
      </c>
      <c r="F12" s="5">
        <v>1</v>
      </c>
      <c r="G12" s="5">
        <v>31.83</v>
      </c>
      <c r="H12" s="5">
        <v>-48.9</v>
      </c>
      <c r="I12" s="5" t="s">
        <v>597</v>
      </c>
      <c r="J12" s="5">
        <v>59</v>
      </c>
      <c r="K12" s="7">
        <f t="shared" si="0"/>
        <v>31.83</v>
      </c>
      <c r="L12" s="7">
        <f t="shared" si="1"/>
        <v>31.83</v>
      </c>
      <c r="M12" s="7">
        <f t="shared" si="2"/>
        <v>-48.900000000000006</v>
      </c>
      <c r="N12" s="7" t="str">
        <f t="shared" si="3"/>
        <v>✓ 通過</v>
      </c>
      <c r="O12" s="7" t="s">
        <v>99</v>
      </c>
      <c r="P12" s="6"/>
      <c r="Q12" s="6"/>
    </row>
    <row r="13" spans="1:17">
      <c r="A13" s="5" t="s">
        <v>600</v>
      </c>
      <c r="B13" s="5" t="s">
        <v>598</v>
      </c>
      <c r="C13" s="5" t="s">
        <v>590</v>
      </c>
      <c r="D13" s="5">
        <v>22.33</v>
      </c>
      <c r="E13" s="5">
        <v>1</v>
      </c>
      <c r="F13" s="5">
        <v>1</v>
      </c>
      <c r="G13" s="5">
        <v>22.33</v>
      </c>
      <c r="H13" s="5">
        <v>-67.900000000000006</v>
      </c>
      <c r="I13" s="5" t="s">
        <v>597</v>
      </c>
      <c r="J13" s="5">
        <v>59</v>
      </c>
      <c r="K13" s="7">
        <f t="shared" si="0"/>
        <v>22.33</v>
      </c>
      <c r="L13" s="7">
        <f t="shared" si="1"/>
        <v>22.33</v>
      </c>
      <c r="M13" s="7">
        <f t="shared" si="2"/>
        <v>-67.900000000000006</v>
      </c>
      <c r="N13" s="7" t="str">
        <f t="shared" si="3"/>
        <v>✓ 通過</v>
      </c>
      <c r="O13" s="7" t="s">
        <v>99</v>
      </c>
      <c r="P13" s="6"/>
      <c r="Q13" s="6"/>
    </row>
    <row r="14" spans="1:17">
      <c r="A14" s="5" t="s">
        <v>601</v>
      </c>
      <c r="B14" s="5" t="s">
        <v>598</v>
      </c>
      <c r="C14" s="5" t="s">
        <v>602</v>
      </c>
      <c r="D14" s="5">
        <v>70.31</v>
      </c>
      <c r="E14" s="5">
        <v>1</v>
      </c>
      <c r="F14" s="5">
        <v>1</v>
      </c>
      <c r="G14" s="5">
        <v>70.31</v>
      </c>
      <c r="H14" s="5">
        <v>28.06</v>
      </c>
      <c r="I14" s="5" t="s">
        <v>597</v>
      </c>
      <c r="J14" s="5">
        <v>59</v>
      </c>
      <c r="K14" s="7">
        <f t="shared" si="0"/>
        <v>70.31</v>
      </c>
      <c r="L14" s="7">
        <f t="shared" si="1"/>
        <v>70.31</v>
      </c>
      <c r="M14" s="7">
        <f t="shared" si="2"/>
        <v>28.060000000000002</v>
      </c>
      <c r="N14" s="7" t="str">
        <f t="shared" si="3"/>
        <v>✓ 通過</v>
      </c>
      <c r="O14" s="7" t="s">
        <v>99</v>
      </c>
      <c r="P14" s="6"/>
      <c r="Q14" s="6"/>
    </row>
    <row r="15" spans="1:17">
      <c r="A15" s="5" t="s">
        <v>603</v>
      </c>
      <c r="B15" s="5" t="s">
        <v>598</v>
      </c>
      <c r="C15" s="5" t="s">
        <v>594</v>
      </c>
      <c r="D15" s="5">
        <v>9.15</v>
      </c>
      <c r="E15" s="5">
        <v>1</v>
      </c>
      <c r="F15" s="5">
        <v>1</v>
      </c>
      <c r="G15" s="5">
        <v>9.15</v>
      </c>
      <c r="H15" s="5">
        <v>-94.26</v>
      </c>
      <c r="I15" s="5" t="s">
        <v>597</v>
      </c>
      <c r="J15" s="5">
        <v>59</v>
      </c>
      <c r="K15" s="7">
        <f t="shared" si="0"/>
        <v>9.15</v>
      </c>
      <c r="L15" s="7">
        <f t="shared" si="1"/>
        <v>9.15</v>
      </c>
      <c r="M15" s="7">
        <f t="shared" si="2"/>
        <v>-94.26</v>
      </c>
      <c r="N15" s="7" t="str">
        <f t="shared" si="3"/>
        <v>✓ 通過</v>
      </c>
      <c r="O15" s="7" t="s">
        <v>99</v>
      </c>
      <c r="P15" s="6"/>
      <c r="Q15" s="6"/>
    </row>
    <row r="16" spans="1:17">
      <c r="A16" s="5" t="s">
        <v>604</v>
      </c>
      <c r="B16" s="5" t="s">
        <v>598</v>
      </c>
      <c r="C16" s="5" t="s">
        <v>596</v>
      </c>
      <c r="D16" s="5">
        <v>27.25</v>
      </c>
      <c r="E16" s="5">
        <v>1</v>
      </c>
      <c r="F16" s="5">
        <v>1</v>
      </c>
      <c r="G16" s="5">
        <v>27.25</v>
      </c>
      <c r="H16" s="5">
        <v>-58.06</v>
      </c>
      <c r="I16" s="5" t="s">
        <v>597</v>
      </c>
      <c r="J16" s="5">
        <v>59</v>
      </c>
      <c r="K16" s="7">
        <f t="shared" si="0"/>
        <v>27.25</v>
      </c>
      <c r="L16" s="7">
        <f t="shared" si="1"/>
        <v>27.25</v>
      </c>
      <c r="M16" s="7">
        <f t="shared" si="2"/>
        <v>-58.06</v>
      </c>
      <c r="N16" s="7" t="str">
        <f t="shared" si="3"/>
        <v>✓ 通過</v>
      </c>
      <c r="O16" s="7" t="s">
        <v>99</v>
      </c>
      <c r="P16" s="6"/>
      <c r="Q16" s="6"/>
    </row>
    <row r="17" spans="1:17">
      <c r="A17" s="5" t="s">
        <v>605</v>
      </c>
      <c r="B17" s="5" t="s">
        <v>606</v>
      </c>
      <c r="C17" s="8" t="s">
        <v>586</v>
      </c>
      <c r="D17" s="5">
        <v>56.28</v>
      </c>
      <c r="E17" s="5">
        <v>0</v>
      </c>
      <c r="F17" s="5">
        <v>0</v>
      </c>
      <c r="G17" s="5">
        <v>0</v>
      </c>
      <c r="H17" s="5">
        <v>0</v>
      </c>
      <c r="I17" s="5" t="s">
        <v>605</v>
      </c>
      <c r="J17" s="5">
        <v>59</v>
      </c>
      <c r="K17" s="7">
        <f t="shared" si="0"/>
        <v>56.28</v>
      </c>
      <c r="L17" s="7">
        <f t="shared" si="1"/>
        <v>0</v>
      </c>
      <c r="M17" s="7">
        <f t="shared" si="2"/>
        <v>0</v>
      </c>
      <c r="N17" s="7" t="str">
        <f t="shared" si="3"/>
        <v>✓ 通過</v>
      </c>
      <c r="O17" s="7" t="s">
        <v>99</v>
      </c>
      <c r="P17" s="6"/>
      <c r="Q17" s="6"/>
    </row>
    <row r="18" spans="1:17">
      <c r="A18" s="5" t="s">
        <v>607</v>
      </c>
      <c r="B18" s="5" t="s">
        <v>606</v>
      </c>
      <c r="C18" s="5" t="s">
        <v>588</v>
      </c>
      <c r="D18" s="5">
        <v>31.83</v>
      </c>
      <c r="E18" s="5">
        <v>0</v>
      </c>
      <c r="F18" s="5">
        <v>0</v>
      </c>
      <c r="G18" s="5">
        <v>0</v>
      </c>
      <c r="H18" s="5">
        <v>-24.45</v>
      </c>
      <c r="I18" s="5" t="s">
        <v>605</v>
      </c>
      <c r="J18" s="5">
        <v>59</v>
      </c>
      <c r="K18" s="7">
        <f t="shared" si="0"/>
        <v>31.83</v>
      </c>
      <c r="L18" s="7">
        <f t="shared" si="1"/>
        <v>0</v>
      </c>
      <c r="M18" s="7">
        <f t="shared" si="2"/>
        <v>-24.450000000000003</v>
      </c>
      <c r="N18" s="7" t="str">
        <f t="shared" si="3"/>
        <v>✓ 通過</v>
      </c>
      <c r="O18" s="7" t="s">
        <v>99</v>
      </c>
      <c r="P18" s="6"/>
      <c r="Q18" s="6"/>
    </row>
    <row r="19" spans="1:17">
      <c r="A19" s="5" t="s">
        <v>608</v>
      </c>
      <c r="B19" s="5" t="s">
        <v>606</v>
      </c>
      <c r="C19" s="5" t="s">
        <v>590</v>
      </c>
      <c r="D19" s="5">
        <v>22.33</v>
      </c>
      <c r="E19" s="5">
        <v>0</v>
      </c>
      <c r="F19" s="5">
        <v>0</v>
      </c>
      <c r="G19" s="5">
        <v>0</v>
      </c>
      <c r="H19" s="5">
        <v>-33.950000000000003</v>
      </c>
      <c r="I19" s="5" t="s">
        <v>605</v>
      </c>
      <c r="J19" s="5">
        <v>59</v>
      </c>
      <c r="K19" s="7">
        <f t="shared" si="0"/>
        <v>22.33</v>
      </c>
      <c r="L19" s="7">
        <f t="shared" si="1"/>
        <v>0</v>
      </c>
      <c r="M19" s="7">
        <f t="shared" si="2"/>
        <v>-33.950000000000003</v>
      </c>
      <c r="N19" s="7" t="str">
        <f t="shared" si="3"/>
        <v>✓ 通過</v>
      </c>
      <c r="O19" s="7" t="s">
        <v>99</v>
      </c>
      <c r="P19" s="6"/>
      <c r="Q19" s="6"/>
    </row>
    <row r="20" spans="1:17">
      <c r="A20" s="5" t="s">
        <v>609</v>
      </c>
      <c r="B20" s="5" t="s">
        <v>606</v>
      </c>
      <c r="C20" s="5" t="s">
        <v>602</v>
      </c>
      <c r="D20" s="5">
        <v>70.31</v>
      </c>
      <c r="E20" s="5">
        <v>0</v>
      </c>
      <c r="F20" s="5">
        <v>0</v>
      </c>
      <c r="G20" s="5">
        <v>0</v>
      </c>
      <c r="H20" s="5">
        <v>14.03</v>
      </c>
      <c r="I20" s="5" t="s">
        <v>605</v>
      </c>
      <c r="J20" s="5">
        <v>59</v>
      </c>
      <c r="K20" s="7">
        <f t="shared" si="0"/>
        <v>70.31</v>
      </c>
      <c r="L20" s="7">
        <f t="shared" si="1"/>
        <v>0</v>
      </c>
      <c r="M20" s="7">
        <f t="shared" si="2"/>
        <v>14.030000000000001</v>
      </c>
      <c r="N20" s="7" t="str">
        <f t="shared" si="3"/>
        <v>✓ 通過</v>
      </c>
      <c r="O20" s="7" t="s">
        <v>99</v>
      </c>
      <c r="P20" s="6"/>
      <c r="Q20" s="6"/>
    </row>
    <row r="21" spans="1:17">
      <c r="A21" s="5" t="s">
        <v>610</v>
      </c>
      <c r="B21" s="5" t="s">
        <v>606</v>
      </c>
      <c r="C21" s="5" t="s">
        <v>594</v>
      </c>
      <c r="D21" s="5">
        <v>9.15</v>
      </c>
      <c r="E21" s="5">
        <v>0</v>
      </c>
      <c r="F21" s="5">
        <v>0</v>
      </c>
      <c r="G21" s="5">
        <v>0</v>
      </c>
      <c r="H21" s="5">
        <v>-47.13</v>
      </c>
      <c r="I21" s="5" t="s">
        <v>605</v>
      </c>
      <c r="J21" s="5">
        <v>59</v>
      </c>
      <c r="K21" s="7">
        <f t="shared" si="0"/>
        <v>9.15</v>
      </c>
      <c r="L21" s="7">
        <f t="shared" si="1"/>
        <v>0</v>
      </c>
      <c r="M21" s="7">
        <f t="shared" si="2"/>
        <v>-47.13</v>
      </c>
      <c r="N21" s="7" t="str">
        <f t="shared" si="3"/>
        <v>✓ 通過</v>
      </c>
      <c r="O21" s="7" t="s">
        <v>99</v>
      </c>
      <c r="P21" s="6"/>
      <c r="Q21" s="6"/>
    </row>
    <row r="22" spans="1:17">
      <c r="A22" s="5" t="s">
        <v>611</v>
      </c>
      <c r="B22" s="5" t="s">
        <v>606</v>
      </c>
      <c r="C22" s="5" t="s">
        <v>596</v>
      </c>
      <c r="D22" s="5">
        <v>27.25</v>
      </c>
      <c r="E22" s="5">
        <v>0</v>
      </c>
      <c r="F22" s="5">
        <v>0</v>
      </c>
      <c r="G22" s="5">
        <v>0</v>
      </c>
      <c r="H22" s="5">
        <v>-29.03</v>
      </c>
      <c r="I22" s="5" t="s">
        <v>605</v>
      </c>
      <c r="J22" s="5">
        <v>59</v>
      </c>
      <c r="K22" s="7">
        <f t="shared" si="0"/>
        <v>27.25</v>
      </c>
      <c r="L22" s="7">
        <f t="shared" si="1"/>
        <v>0</v>
      </c>
      <c r="M22" s="7">
        <f t="shared" si="2"/>
        <v>-29.03</v>
      </c>
      <c r="N22" s="7" t="str">
        <f t="shared" si="3"/>
        <v>✓ 通過</v>
      </c>
      <c r="O22" s="7" t="s">
        <v>99</v>
      </c>
      <c r="P22" s="6"/>
      <c r="Q22" s="6"/>
    </row>
  </sheetData>
  <autoFilter ref="A4:Q22" xr:uid="{00000000-0009-0000-0000-000007000000}"/>
  <mergeCells count="1">
    <mergeCell ref="A2:Q2"/>
  </mergeCells>
  <phoneticPr fontId="5" type="noConversion"/>
  <conditionalFormatting sqref="N5:N22">
    <cfRule type="expression" dxfId="5" priority="1">
      <formula>LEFT(N5,1)="⚠"</formula>
    </cfRule>
  </conditionalFormatting>
  <conditionalFormatting sqref="O5:O22">
    <cfRule type="expression" dxfId="4" priority="2">
      <formula>O5&lt;&gt;"一致"</formula>
    </cfRule>
  </conditionalFormatting>
  <dataValidations count="1">
    <dataValidation type="list" allowBlank="1" sqref="P5:P22" xr:uid="{00000000-0002-0000-0700-000000000000}">
      <formula1>"✓ 正確,✗ 有誤,? 不確定"</formula1>
    </dataValidation>
  </dataValidations>
  <pageMargins left="0.75" right="0.75" top="1" bottom="1" header="0.5" footer="0.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4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/>
  <cols>
    <col min="1" max="1" width="15" customWidth="1"/>
    <col min="2" max="2" width="10" customWidth="1"/>
    <col min="3" max="3" width="18" customWidth="1"/>
    <col min="4" max="4" width="34" customWidth="1"/>
    <col min="5" max="5" width="18" customWidth="1"/>
    <col min="6" max="6" width="10" customWidth="1"/>
    <col min="7" max="7" width="22" customWidth="1"/>
    <col min="8" max="8" width="10" customWidth="1"/>
    <col min="9" max="9" width="11" customWidth="1"/>
    <col min="10" max="11" width="8" customWidth="1"/>
    <col min="12" max="12" width="12" customWidth="1"/>
    <col min="13" max="13" width="10" customWidth="1"/>
    <col min="14" max="14" width="14" customWidth="1"/>
    <col min="15" max="18" width="9" customWidth="1"/>
    <col min="19" max="19" width="16" customWidth="1"/>
    <col min="20" max="20" width="22" customWidth="1"/>
    <col min="21" max="21" width="11" customWidth="1"/>
    <col min="22" max="22" width="24" customWidth="1"/>
  </cols>
  <sheetData>
    <row r="1" spans="1:22" ht="18">
      <c r="A1" s="1" t="s">
        <v>612</v>
      </c>
    </row>
    <row r="2" spans="1:22" ht="48" customHeight="1">
      <c r="A2" s="9" t="s">
        <v>613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</row>
    <row r="4" spans="1:22" ht="42" customHeight="1">
      <c r="A4" s="4" t="s">
        <v>78</v>
      </c>
      <c r="B4" s="4" t="s">
        <v>580</v>
      </c>
      <c r="C4" s="4" t="s">
        <v>614</v>
      </c>
      <c r="D4" s="4" t="s">
        <v>353</v>
      </c>
      <c r="E4" s="4" t="s">
        <v>615</v>
      </c>
      <c r="F4" s="4" t="s">
        <v>355</v>
      </c>
      <c r="G4" s="4" t="s">
        <v>616</v>
      </c>
      <c r="H4" s="4" t="s">
        <v>357</v>
      </c>
      <c r="I4" s="4" t="s">
        <v>617</v>
      </c>
      <c r="J4" s="4" t="s">
        <v>359</v>
      </c>
      <c r="K4" s="4" t="s">
        <v>360</v>
      </c>
      <c r="L4" s="4" t="s">
        <v>618</v>
      </c>
      <c r="M4" s="4" t="s">
        <v>619</v>
      </c>
      <c r="N4" s="4" t="s">
        <v>363</v>
      </c>
      <c r="O4" s="4" t="s">
        <v>89</v>
      </c>
      <c r="P4" s="4" t="s">
        <v>364</v>
      </c>
      <c r="Q4" s="4" t="s">
        <v>365</v>
      </c>
      <c r="R4" s="4" t="s">
        <v>366</v>
      </c>
      <c r="S4" s="4" t="s">
        <v>91</v>
      </c>
      <c r="T4" s="4" t="s">
        <v>92</v>
      </c>
      <c r="U4" s="4" t="s">
        <v>93</v>
      </c>
      <c r="V4" s="4" t="s">
        <v>33</v>
      </c>
    </row>
    <row r="5" spans="1:22">
      <c r="A5" s="5" t="s">
        <v>620</v>
      </c>
      <c r="B5" s="5" t="s">
        <v>585</v>
      </c>
      <c r="C5" s="5" t="s">
        <v>621</v>
      </c>
      <c r="D5" s="8" t="s">
        <v>622</v>
      </c>
      <c r="E5" s="5" t="s">
        <v>623</v>
      </c>
      <c r="F5" s="5">
        <v>13.58</v>
      </c>
      <c r="G5" s="5" t="s">
        <v>624</v>
      </c>
      <c r="H5" s="5">
        <v>19.649999999999999</v>
      </c>
      <c r="I5" s="5">
        <v>33.229999999999997</v>
      </c>
      <c r="J5" s="5">
        <v>1</v>
      </c>
      <c r="K5" s="5">
        <v>3</v>
      </c>
      <c r="L5" s="5">
        <v>72.53</v>
      </c>
      <c r="M5" s="5">
        <v>0</v>
      </c>
      <c r="N5" s="5" t="s">
        <v>620</v>
      </c>
      <c r="O5" s="5">
        <v>60</v>
      </c>
      <c r="P5" s="7">
        <f t="shared" ref="P5:P46" si="0">F5+H5</f>
        <v>33.229999999999997</v>
      </c>
      <c r="Q5" s="7">
        <f t="shared" ref="Q5:Q46" si="1">F5*J5+H5*K5</f>
        <v>72.53</v>
      </c>
      <c r="R5" s="7">
        <f t="shared" ref="R5:R46" si="2">IFERROR((I5+L5)-(INDEX($I$5:$I$46,MATCH(N5,$A$5:$A$46,0))+INDEX($L$5:$L$46,MATCH(N5,$A$5:$A$46,0))),"無基準")</f>
        <v>0</v>
      </c>
      <c r="S5" s="7" t="str">
        <f t="shared" ref="S5:S46" si="3">IF(ISNUMBER(R5),IF(AND(ABS(P5-I5)&lt;=0.02,ABS(Q5-L5)&lt;=0.02,ABS(R5-M5)&lt;=0.02),"✓ 通過","⚠ "&amp;IF(ABS(P5-I5)&gt;0.02,"新建不符 ","")&amp;IF(ABS(Q5-L5)&gt;0.02,"更新不符 ","")&amp;IF(ABS(R5-M5)&gt;0.02,"減碳量不符","")),"⚠ 找不到基準")</f>
        <v>✓ 通過</v>
      </c>
      <c r="T5" s="7" t="s">
        <v>99</v>
      </c>
      <c r="U5" s="6"/>
      <c r="V5" s="6"/>
    </row>
    <row r="6" spans="1:22">
      <c r="A6" s="5" t="s">
        <v>625</v>
      </c>
      <c r="B6" s="5" t="s">
        <v>585</v>
      </c>
      <c r="C6" s="5" t="s">
        <v>621</v>
      </c>
      <c r="D6" s="5" t="s">
        <v>626</v>
      </c>
      <c r="E6" s="5" t="s">
        <v>627</v>
      </c>
      <c r="F6" s="5">
        <v>0.97</v>
      </c>
      <c r="G6" s="5" t="s">
        <v>628</v>
      </c>
      <c r="H6" s="5">
        <v>0</v>
      </c>
      <c r="I6" s="5">
        <v>0.97</v>
      </c>
      <c r="J6" s="5">
        <v>1</v>
      </c>
      <c r="K6" s="5">
        <v>3</v>
      </c>
      <c r="L6" s="5">
        <v>0.97</v>
      </c>
      <c r="M6" s="5">
        <v>-103.82</v>
      </c>
      <c r="N6" s="5" t="s">
        <v>620</v>
      </c>
      <c r="O6" s="5">
        <v>60</v>
      </c>
      <c r="P6" s="7">
        <f t="shared" si="0"/>
        <v>0.97</v>
      </c>
      <c r="Q6" s="7">
        <f t="shared" si="1"/>
        <v>0.97</v>
      </c>
      <c r="R6" s="7">
        <f t="shared" si="2"/>
        <v>-103.82</v>
      </c>
      <c r="S6" s="7" t="str">
        <f t="shared" si="3"/>
        <v>✓ 通過</v>
      </c>
      <c r="T6" s="7" t="s">
        <v>99</v>
      </c>
      <c r="U6" s="6"/>
      <c r="V6" s="6"/>
    </row>
    <row r="7" spans="1:22">
      <c r="A7" s="5" t="s">
        <v>629</v>
      </c>
      <c r="B7" s="5" t="s">
        <v>585</v>
      </c>
      <c r="C7" s="5" t="s">
        <v>621</v>
      </c>
      <c r="D7" s="5" t="s">
        <v>630</v>
      </c>
      <c r="E7" s="5" t="s">
        <v>623</v>
      </c>
      <c r="F7" s="5">
        <v>13.58</v>
      </c>
      <c r="G7" s="5" t="s">
        <v>628</v>
      </c>
      <c r="H7" s="5">
        <v>0</v>
      </c>
      <c r="I7" s="5">
        <v>13.58</v>
      </c>
      <c r="J7" s="5">
        <v>1</v>
      </c>
      <c r="K7" s="5">
        <v>3</v>
      </c>
      <c r="L7" s="5">
        <v>13.58</v>
      </c>
      <c r="M7" s="5">
        <v>-78.599999999999994</v>
      </c>
      <c r="N7" s="5" t="s">
        <v>620</v>
      </c>
      <c r="O7" s="5">
        <v>60</v>
      </c>
      <c r="P7" s="7">
        <f t="shared" si="0"/>
        <v>13.58</v>
      </c>
      <c r="Q7" s="7">
        <f t="shared" si="1"/>
        <v>13.58</v>
      </c>
      <c r="R7" s="7">
        <f t="shared" si="2"/>
        <v>-78.599999999999994</v>
      </c>
      <c r="S7" s="7" t="str">
        <f t="shared" si="3"/>
        <v>✓ 通過</v>
      </c>
      <c r="T7" s="7" t="s">
        <v>99</v>
      </c>
      <c r="U7" s="6"/>
      <c r="V7" s="6"/>
    </row>
    <row r="8" spans="1:22">
      <c r="A8" s="5" t="s">
        <v>631</v>
      </c>
      <c r="B8" s="5" t="s">
        <v>585</v>
      </c>
      <c r="C8" s="5" t="s">
        <v>621</v>
      </c>
      <c r="D8" s="5" t="s">
        <v>632</v>
      </c>
      <c r="E8" s="5" t="s">
        <v>633</v>
      </c>
      <c r="F8" s="5">
        <v>18.100000000000001</v>
      </c>
      <c r="G8" s="5" t="s">
        <v>634</v>
      </c>
      <c r="H8" s="5">
        <v>3.67</v>
      </c>
      <c r="I8" s="5">
        <v>21.77</v>
      </c>
      <c r="J8" s="5">
        <v>1</v>
      </c>
      <c r="K8" s="5">
        <v>3</v>
      </c>
      <c r="L8" s="5">
        <v>29.11</v>
      </c>
      <c r="M8" s="5">
        <v>-54.88</v>
      </c>
      <c r="N8" s="5" t="s">
        <v>620</v>
      </c>
      <c r="O8" s="5">
        <v>60</v>
      </c>
      <c r="P8" s="7">
        <f t="shared" si="0"/>
        <v>21.770000000000003</v>
      </c>
      <c r="Q8" s="7">
        <f t="shared" si="1"/>
        <v>29.11</v>
      </c>
      <c r="R8" s="7">
        <f t="shared" si="2"/>
        <v>-54.879999999999995</v>
      </c>
      <c r="S8" s="7" t="str">
        <f t="shared" si="3"/>
        <v>✓ 通過</v>
      </c>
      <c r="T8" s="7" t="s">
        <v>99</v>
      </c>
      <c r="U8" s="6"/>
      <c r="V8" s="6"/>
    </row>
    <row r="9" spans="1:22">
      <c r="A9" s="5" t="s">
        <v>635</v>
      </c>
      <c r="B9" s="5" t="s">
        <v>585</v>
      </c>
      <c r="C9" s="5" t="s">
        <v>621</v>
      </c>
      <c r="D9" s="5" t="s">
        <v>636</v>
      </c>
      <c r="E9" s="5" t="s">
        <v>637</v>
      </c>
      <c r="F9" s="5">
        <v>25.03</v>
      </c>
      <c r="G9" s="5" t="s">
        <v>628</v>
      </c>
      <c r="H9" s="5">
        <v>0</v>
      </c>
      <c r="I9" s="5">
        <v>25.03</v>
      </c>
      <c r="J9" s="5">
        <v>1</v>
      </c>
      <c r="K9" s="5">
        <v>3</v>
      </c>
      <c r="L9" s="5">
        <v>25.03</v>
      </c>
      <c r="M9" s="5">
        <v>-55.7</v>
      </c>
      <c r="N9" s="5" t="s">
        <v>620</v>
      </c>
      <c r="O9" s="5">
        <v>60</v>
      </c>
      <c r="P9" s="7">
        <f t="shared" si="0"/>
        <v>25.03</v>
      </c>
      <c r="Q9" s="7">
        <f t="shared" si="1"/>
        <v>25.03</v>
      </c>
      <c r="R9" s="7">
        <f t="shared" si="2"/>
        <v>-55.699999999999989</v>
      </c>
      <c r="S9" s="7" t="str">
        <f t="shared" si="3"/>
        <v>✓ 通過</v>
      </c>
      <c r="T9" s="7" t="s">
        <v>99</v>
      </c>
      <c r="U9" s="6"/>
      <c r="V9" s="6"/>
    </row>
    <row r="10" spans="1:22" ht="27.6">
      <c r="A10" s="5" t="s">
        <v>638</v>
      </c>
      <c r="B10" s="5" t="s">
        <v>585</v>
      </c>
      <c r="C10" s="5" t="s">
        <v>621</v>
      </c>
      <c r="D10" s="5" t="s">
        <v>639</v>
      </c>
      <c r="E10" s="5" t="s">
        <v>623</v>
      </c>
      <c r="F10" s="5">
        <v>13.58</v>
      </c>
      <c r="G10" s="5" t="s">
        <v>640</v>
      </c>
      <c r="H10" s="5">
        <v>7.52</v>
      </c>
      <c r="I10" s="5">
        <v>21.1</v>
      </c>
      <c r="J10" s="5">
        <v>1</v>
      </c>
      <c r="K10" s="5">
        <v>3</v>
      </c>
      <c r="L10" s="5">
        <v>36.14</v>
      </c>
      <c r="M10" s="5">
        <v>-48.52</v>
      </c>
      <c r="N10" s="5" t="s">
        <v>620</v>
      </c>
      <c r="O10" s="5">
        <v>60</v>
      </c>
      <c r="P10" s="7">
        <f t="shared" si="0"/>
        <v>21.1</v>
      </c>
      <c r="Q10" s="7">
        <f t="shared" si="1"/>
        <v>36.14</v>
      </c>
      <c r="R10" s="7">
        <f t="shared" si="2"/>
        <v>-48.519999999999989</v>
      </c>
      <c r="S10" s="7" t="str">
        <f t="shared" si="3"/>
        <v>✓ 通過</v>
      </c>
      <c r="T10" s="7" t="s">
        <v>99</v>
      </c>
      <c r="U10" s="6"/>
      <c r="V10" s="6"/>
    </row>
    <row r="11" spans="1:22" ht="27.6">
      <c r="A11" s="5" t="s">
        <v>641</v>
      </c>
      <c r="B11" s="5" t="s">
        <v>585</v>
      </c>
      <c r="C11" s="5" t="s">
        <v>642</v>
      </c>
      <c r="D11" s="8" t="s">
        <v>643</v>
      </c>
      <c r="E11" s="5" t="s">
        <v>623</v>
      </c>
      <c r="F11" s="5">
        <v>13.58</v>
      </c>
      <c r="G11" s="5" t="s">
        <v>644</v>
      </c>
      <c r="H11" s="5">
        <v>20.23</v>
      </c>
      <c r="I11" s="5">
        <v>33.81</v>
      </c>
      <c r="J11" s="5">
        <v>1</v>
      </c>
      <c r="K11" s="5">
        <v>3</v>
      </c>
      <c r="L11" s="5">
        <v>74.27</v>
      </c>
      <c r="M11" s="5">
        <v>0</v>
      </c>
      <c r="N11" s="5" t="s">
        <v>641</v>
      </c>
      <c r="O11" s="5">
        <v>60</v>
      </c>
      <c r="P11" s="7">
        <f t="shared" si="0"/>
        <v>33.81</v>
      </c>
      <c r="Q11" s="7">
        <f t="shared" si="1"/>
        <v>74.27</v>
      </c>
      <c r="R11" s="7">
        <f t="shared" si="2"/>
        <v>0</v>
      </c>
      <c r="S11" s="7" t="str">
        <f t="shared" si="3"/>
        <v>✓ 通過</v>
      </c>
      <c r="T11" s="7" t="s">
        <v>99</v>
      </c>
      <c r="U11" s="6"/>
      <c r="V11" s="6"/>
    </row>
    <row r="12" spans="1:22" ht="27.6">
      <c r="A12" s="5" t="s">
        <v>645</v>
      </c>
      <c r="B12" s="5" t="s">
        <v>585</v>
      </c>
      <c r="C12" s="5" t="s">
        <v>642</v>
      </c>
      <c r="D12" s="5" t="s">
        <v>646</v>
      </c>
      <c r="E12" s="5" t="s">
        <v>623</v>
      </c>
      <c r="F12" s="5">
        <v>13.58</v>
      </c>
      <c r="G12" s="5" t="s">
        <v>647</v>
      </c>
      <c r="H12" s="5">
        <v>17.5</v>
      </c>
      <c r="I12" s="5">
        <v>31.08</v>
      </c>
      <c r="J12" s="5">
        <v>1</v>
      </c>
      <c r="K12" s="5">
        <v>3</v>
      </c>
      <c r="L12" s="5">
        <v>66.08</v>
      </c>
      <c r="M12" s="5">
        <v>-10.92</v>
      </c>
      <c r="N12" s="5" t="s">
        <v>641</v>
      </c>
      <c r="O12" s="5">
        <v>60</v>
      </c>
      <c r="P12" s="7">
        <f t="shared" si="0"/>
        <v>31.08</v>
      </c>
      <c r="Q12" s="7">
        <f t="shared" si="1"/>
        <v>66.08</v>
      </c>
      <c r="R12" s="7">
        <f t="shared" si="2"/>
        <v>-10.920000000000002</v>
      </c>
      <c r="S12" s="7" t="str">
        <f t="shared" si="3"/>
        <v>✓ 通過</v>
      </c>
      <c r="T12" s="7" t="s">
        <v>99</v>
      </c>
      <c r="U12" s="6"/>
      <c r="V12" s="6"/>
    </row>
    <row r="13" spans="1:22" ht="27.6">
      <c r="A13" s="5" t="s">
        <v>648</v>
      </c>
      <c r="B13" s="5" t="s">
        <v>585</v>
      </c>
      <c r="C13" s="5" t="s">
        <v>642</v>
      </c>
      <c r="D13" s="5" t="s">
        <v>649</v>
      </c>
      <c r="E13" s="5" t="s">
        <v>623</v>
      </c>
      <c r="F13" s="5">
        <v>13.58</v>
      </c>
      <c r="G13" s="5" t="s">
        <v>650</v>
      </c>
      <c r="H13" s="5">
        <v>22.85</v>
      </c>
      <c r="I13" s="5">
        <v>36.43</v>
      </c>
      <c r="J13" s="5">
        <v>1</v>
      </c>
      <c r="K13" s="5">
        <v>3</v>
      </c>
      <c r="L13" s="5">
        <v>82.13</v>
      </c>
      <c r="M13" s="5">
        <v>10.48</v>
      </c>
      <c r="N13" s="5" t="s">
        <v>641</v>
      </c>
      <c r="O13" s="5">
        <v>60</v>
      </c>
      <c r="P13" s="7">
        <f t="shared" si="0"/>
        <v>36.43</v>
      </c>
      <c r="Q13" s="7">
        <f t="shared" si="1"/>
        <v>82.13000000000001</v>
      </c>
      <c r="R13" s="7">
        <f t="shared" si="2"/>
        <v>10.480000000000004</v>
      </c>
      <c r="S13" s="7" t="str">
        <f t="shared" si="3"/>
        <v>✓ 通過</v>
      </c>
      <c r="T13" s="7" t="s">
        <v>99</v>
      </c>
      <c r="U13" s="6"/>
      <c r="V13" s="6"/>
    </row>
    <row r="14" spans="1:22" ht="27.6">
      <c r="A14" s="5" t="s">
        <v>651</v>
      </c>
      <c r="B14" s="5" t="s">
        <v>585</v>
      </c>
      <c r="C14" s="5" t="s">
        <v>642</v>
      </c>
      <c r="D14" s="5" t="s">
        <v>652</v>
      </c>
      <c r="E14" s="5" t="s">
        <v>623</v>
      </c>
      <c r="F14" s="5">
        <v>13.58</v>
      </c>
      <c r="G14" s="5" t="s">
        <v>653</v>
      </c>
      <c r="H14" s="5">
        <v>14.87</v>
      </c>
      <c r="I14" s="5">
        <v>28.45</v>
      </c>
      <c r="J14" s="5">
        <v>1</v>
      </c>
      <c r="K14" s="5">
        <v>3</v>
      </c>
      <c r="L14" s="5">
        <v>58.19</v>
      </c>
      <c r="M14" s="5">
        <v>-21.44</v>
      </c>
      <c r="N14" s="5" t="s">
        <v>641</v>
      </c>
      <c r="O14" s="5">
        <v>60</v>
      </c>
      <c r="P14" s="7">
        <f t="shared" si="0"/>
        <v>28.45</v>
      </c>
      <c r="Q14" s="7">
        <f t="shared" si="1"/>
        <v>58.19</v>
      </c>
      <c r="R14" s="7">
        <f t="shared" si="2"/>
        <v>-21.439999999999998</v>
      </c>
      <c r="S14" s="7" t="str">
        <f t="shared" si="3"/>
        <v>✓ 通過</v>
      </c>
      <c r="T14" s="7" t="s">
        <v>99</v>
      </c>
      <c r="U14" s="6"/>
      <c r="V14" s="6"/>
    </row>
    <row r="15" spans="1:22" ht="27.6">
      <c r="A15" s="5" t="s">
        <v>654</v>
      </c>
      <c r="B15" s="5" t="s">
        <v>585</v>
      </c>
      <c r="C15" s="5" t="s">
        <v>642</v>
      </c>
      <c r="D15" s="5" t="s">
        <v>655</v>
      </c>
      <c r="E15" s="5" t="s">
        <v>623</v>
      </c>
      <c r="F15" s="5">
        <v>13.58</v>
      </c>
      <c r="G15" s="5" t="s">
        <v>656</v>
      </c>
      <c r="H15" s="5">
        <v>16.239999999999998</v>
      </c>
      <c r="I15" s="5">
        <v>29.82</v>
      </c>
      <c r="J15" s="5">
        <v>1</v>
      </c>
      <c r="K15" s="5">
        <v>3</v>
      </c>
      <c r="L15" s="5">
        <v>62.3</v>
      </c>
      <c r="M15" s="5">
        <v>-15.96</v>
      </c>
      <c r="N15" s="5" t="s">
        <v>641</v>
      </c>
      <c r="O15" s="5">
        <v>60</v>
      </c>
      <c r="P15" s="7">
        <f t="shared" si="0"/>
        <v>29.82</v>
      </c>
      <c r="Q15" s="7">
        <f t="shared" si="1"/>
        <v>62.3</v>
      </c>
      <c r="R15" s="7">
        <f t="shared" si="2"/>
        <v>-15.959999999999994</v>
      </c>
      <c r="S15" s="7" t="str">
        <f t="shared" si="3"/>
        <v>✓ 通過</v>
      </c>
      <c r="T15" s="7" t="s">
        <v>99</v>
      </c>
      <c r="U15" s="6"/>
      <c r="V15" s="6"/>
    </row>
    <row r="16" spans="1:22" ht="27.6">
      <c r="A16" s="5" t="s">
        <v>657</v>
      </c>
      <c r="B16" s="5" t="s">
        <v>585</v>
      </c>
      <c r="C16" s="5" t="s">
        <v>642</v>
      </c>
      <c r="D16" s="5" t="s">
        <v>658</v>
      </c>
      <c r="E16" s="5" t="s">
        <v>623</v>
      </c>
      <c r="F16" s="5">
        <v>13.58</v>
      </c>
      <c r="G16" s="5" t="s">
        <v>659</v>
      </c>
      <c r="H16" s="5">
        <v>5.29</v>
      </c>
      <c r="I16" s="5">
        <v>18.87</v>
      </c>
      <c r="J16" s="5">
        <v>1</v>
      </c>
      <c r="K16" s="5">
        <v>3</v>
      </c>
      <c r="L16" s="5">
        <v>29.45</v>
      </c>
      <c r="M16" s="5">
        <v>-59.76</v>
      </c>
      <c r="N16" s="5" t="s">
        <v>641</v>
      </c>
      <c r="O16" s="5">
        <v>60</v>
      </c>
      <c r="P16" s="7">
        <f t="shared" si="0"/>
        <v>18.87</v>
      </c>
      <c r="Q16" s="7">
        <f t="shared" si="1"/>
        <v>29.450000000000003</v>
      </c>
      <c r="R16" s="7">
        <f t="shared" si="2"/>
        <v>-59.76</v>
      </c>
      <c r="S16" s="7" t="str">
        <f t="shared" si="3"/>
        <v>✓ 通過</v>
      </c>
      <c r="T16" s="7" t="s">
        <v>99</v>
      </c>
      <c r="U16" s="6"/>
      <c r="V16" s="6"/>
    </row>
    <row r="17" spans="1:22">
      <c r="A17" s="5" t="s">
        <v>660</v>
      </c>
      <c r="B17" s="5" t="s">
        <v>598</v>
      </c>
      <c r="C17" s="5" t="s">
        <v>621</v>
      </c>
      <c r="D17" s="8" t="s">
        <v>622</v>
      </c>
      <c r="E17" s="5" t="s">
        <v>623</v>
      </c>
      <c r="F17" s="5">
        <v>13.58</v>
      </c>
      <c r="G17" s="5" t="s">
        <v>624</v>
      </c>
      <c r="H17" s="5">
        <v>19.649999999999999</v>
      </c>
      <c r="I17" s="5">
        <v>33.229999999999997</v>
      </c>
      <c r="J17" s="5">
        <v>0</v>
      </c>
      <c r="K17" s="5">
        <v>2</v>
      </c>
      <c r="L17" s="5">
        <v>39.299999999999997</v>
      </c>
      <c r="M17" s="5">
        <v>0</v>
      </c>
      <c r="N17" s="5" t="s">
        <v>660</v>
      </c>
      <c r="O17" s="5">
        <v>60</v>
      </c>
      <c r="P17" s="7">
        <f t="shared" si="0"/>
        <v>33.229999999999997</v>
      </c>
      <c r="Q17" s="7">
        <f t="shared" si="1"/>
        <v>39.299999999999997</v>
      </c>
      <c r="R17" s="7">
        <f t="shared" si="2"/>
        <v>0</v>
      </c>
      <c r="S17" s="7" t="str">
        <f t="shared" si="3"/>
        <v>✓ 通過</v>
      </c>
      <c r="T17" s="7" t="s">
        <v>99</v>
      </c>
      <c r="U17" s="6"/>
      <c r="V17" s="6"/>
    </row>
    <row r="18" spans="1:22">
      <c r="A18" s="5" t="s">
        <v>661</v>
      </c>
      <c r="B18" s="5" t="s">
        <v>598</v>
      </c>
      <c r="C18" s="5" t="s">
        <v>621</v>
      </c>
      <c r="D18" s="5" t="s">
        <v>626</v>
      </c>
      <c r="E18" s="5" t="s">
        <v>627</v>
      </c>
      <c r="F18" s="5">
        <v>0.97</v>
      </c>
      <c r="G18" s="5" t="s">
        <v>628</v>
      </c>
      <c r="H18" s="5">
        <v>0</v>
      </c>
      <c r="I18" s="5">
        <v>0.97</v>
      </c>
      <c r="J18" s="5">
        <v>0</v>
      </c>
      <c r="K18" s="5">
        <v>2</v>
      </c>
      <c r="L18" s="5">
        <v>0</v>
      </c>
      <c r="M18" s="5">
        <v>-71.56</v>
      </c>
      <c r="N18" s="5" t="s">
        <v>660</v>
      </c>
      <c r="O18" s="5">
        <v>60</v>
      </c>
      <c r="P18" s="7">
        <f t="shared" si="0"/>
        <v>0.97</v>
      </c>
      <c r="Q18" s="7">
        <f t="shared" si="1"/>
        <v>0</v>
      </c>
      <c r="R18" s="7">
        <f t="shared" si="2"/>
        <v>-71.56</v>
      </c>
      <c r="S18" s="7" t="str">
        <f t="shared" si="3"/>
        <v>✓ 通過</v>
      </c>
      <c r="T18" s="7" t="s">
        <v>99</v>
      </c>
      <c r="U18" s="6"/>
      <c r="V18" s="6"/>
    </row>
    <row r="19" spans="1:22">
      <c r="A19" s="5" t="s">
        <v>662</v>
      </c>
      <c r="B19" s="5" t="s">
        <v>598</v>
      </c>
      <c r="C19" s="5" t="s">
        <v>621</v>
      </c>
      <c r="D19" s="5" t="s">
        <v>630</v>
      </c>
      <c r="E19" s="5" t="s">
        <v>623</v>
      </c>
      <c r="F19" s="5">
        <v>13.58</v>
      </c>
      <c r="G19" s="5" t="s">
        <v>628</v>
      </c>
      <c r="H19" s="5">
        <v>0</v>
      </c>
      <c r="I19" s="5">
        <v>13.58</v>
      </c>
      <c r="J19" s="5">
        <v>0</v>
      </c>
      <c r="K19" s="5">
        <v>2</v>
      </c>
      <c r="L19" s="5">
        <v>0</v>
      </c>
      <c r="M19" s="5">
        <v>-58.95</v>
      </c>
      <c r="N19" s="5" t="s">
        <v>660</v>
      </c>
      <c r="O19" s="5">
        <v>60</v>
      </c>
      <c r="P19" s="7">
        <f t="shared" si="0"/>
        <v>13.58</v>
      </c>
      <c r="Q19" s="7">
        <f t="shared" si="1"/>
        <v>0</v>
      </c>
      <c r="R19" s="7">
        <f t="shared" si="2"/>
        <v>-58.95</v>
      </c>
      <c r="S19" s="7" t="str">
        <f t="shared" si="3"/>
        <v>✓ 通過</v>
      </c>
      <c r="T19" s="7" t="s">
        <v>99</v>
      </c>
      <c r="U19" s="6"/>
      <c r="V19" s="6"/>
    </row>
    <row r="20" spans="1:22">
      <c r="A20" s="5" t="s">
        <v>663</v>
      </c>
      <c r="B20" s="5" t="s">
        <v>598</v>
      </c>
      <c r="C20" s="5" t="s">
        <v>621</v>
      </c>
      <c r="D20" s="5" t="s">
        <v>664</v>
      </c>
      <c r="E20" s="5" t="s">
        <v>633</v>
      </c>
      <c r="F20" s="5">
        <v>18.100000000000001</v>
      </c>
      <c r="G20" s="5" t="s">
        <v>634</v>
      </c>
      <c r="H20" s="5">
        <v>3.67</v>
      </c>
      <c r="I20" s="5">
        <v>21.77</v>
      </c>
      <c r="J20" s="5">
        <v>0</v>
      </c>
      <c r="K20" s="5">
        <v>2</v>
      </c>
      <c r="L20" s="5">
        <v>7.34</v>
      </c>
      <c r="M20" s="5">
        <v>-43.42</v>
      </c>
      <c r="N20" s="5" t="s">
        <v>660</v>
      </c>
      <c r="O20" s="5">
        <v>60</v>
      </c>
      <c r="P20" s="7">
        <f t="shared" si="0"/>
        <v>21.770000000000003</v>
      </c>
      <c r="Q20" s="7">
        <f t="shared" si="1"/>
        <v>7.34</v>
      </c>
      <c r="R20" s="7">
        <f t="shared" si="2"/>
        <v>-43.42</v>
      </c>
      <c r="S20" s="7" t="str">
        <f t="shared" si="3"/>
        <v>✓ 通過</v>
      </c>
      <c r="T20" s="7" t="s">
        <v>99</v>
      </c>
      <c r="U20" s="6"/>
      <c r="V20" s="6"/>
    </row>
    <row r="21" spans="1:22">
      <c r="A21" s="5" t="s">
        <v>665</v>
      </c>
      <c r="B21" s="5" t="s">
        <v>598</v>
      </c>
      <c r="C21" s="5" t="s">
        <v>621</v>
      </c>
      <c r="D21" s="5" t="s">
        <v>636</v>
      </c>
      <c r="E21" s="5" t="s">
        <v>637</v>
      </c>
      <c r="F21" s="5">
        <v>25.03</v>
      </c>
      <c r="G21" s="5" t="s">
        <v>628</v>
      </c>
      <c r="H21" s="5">
        <v>0</v>
      </c>
      <c r="I21" s="5">
        <v>25.03</v>
      </c>
      <c r="J21" s="5">
        <v>0</v>
      </c>
      <c r="K21" s="5">
        <v>2</v>
      </c>
      <c r="L21" s="5">
        <v>0</v>
      </c>
      <c r="M21" s="5">
        <v>-47.5</v>
      </c>
      <c r="N21" s="5" t="s">
        <v>660</v>
      </c>
      <c r="O21" s="5">
        <v>60</v>
      </c>
      <c r="P21" s="7">
        <f t="shared" si="0"/>
        <v>25.03</v>
      </c>
      <c r="Q21" s="7">
        <f t="shared" si="1"/>
        <v>0</v>
      </c>
      <c r="R21" s="7">
        <f t="shared" si="2"/>
        <v>-47.5</v>
      </c>
      <c r="S21" s="7" t="str">
        <f t="shared" si="3"/>
        <v>✓ 通過</v>
      </c>
      <c r="T21" s="7" t="s">
        <v>99</v>
      </c>
      <c r="U21" s="6"/>
      <c r="V21" s="6"/>
    </row>
    <row r="22" spans="1:22" ht="27.6">
      <c r="A22" s="5" t="s">
        <v>666</v>
      </c>
      <c r="B22" s="5" t="s">
        <v>598</v>
      </c>
      <c r="C22" s="5" t="s">
        <v>621</v>
      </c>
      <c r="D22" s="5" t="s">
        <v>639</v>
      </c>
      <c r="E22" s="5" t="s">
        <v>623</v>
      </c>
      <c r="F22" s="5">
        <v>13.58</v>
      </c>
      <c r="G22" s="5" t="s">
        <v>640</v>
      </c>
      <c r="H22" s="5">
        <v>7.52</v>
      </c>
      <c r="I22" s="5">
        <v>21.1</v>
      </c>
      <c r="J22" s="5">
        <v>0</v>
      </c>
      <c r="K22" s="5">
        <v>2</v>
      </c>
      <c r="L22" s="5">
        <v>15.04</v>
      </c>
      <c r="M22" s="5">
        <v>-36.39</v>
      </c>
      <c r="N22" s="5" t="s">
        <v>660</v>
      </c>
      <c r="O22" s="5">
        <v>60</v>
      </c>
      <c r="P22" s="7">
        <f t="shared" si="0"/>
        <v>21.1</v>
      </c>
      <c r="Q22" s="7">
        <f t="shared" si="1"/>
        <v>15.04</v>
      </c>
      <c r="R22" s="7">
        <f t="shared" si="2"/>
        <v>-36.39</v>
      </c>
      <c r="S22" s="7" t="str">
        <f t="shared" si="3"/>
        <v>✓ 通過</v>
      </c>
      <c r="T22" s="7" t="s">
        <v>99</v>
      </c>
      <c r="U22" s="6"/>
      <c r="V22" s="6"/>
    </row>
    <row r="23" spans="1:22" ht="27.6">
      <c r="A23" s="5" t="s">
        <v>667</v>
      </c>
      <c r="B23" s="5" t="s">
        <v>598</v>
      </c>
      <c r="C23" s="5" t="s">
        <v>642</v>
      </c>
      <c r="D23" s="8" t="s">
        <v>643</v>
      </c>
      <c r="E23" s="5" t="s">
        <v>623</v>
      </c>
      <c r="F23" s="5">
        <v>13.58</v>
      </c>
      <c r="G23" s="5" t="s">
        <v>644</v>
      </c>
      <c r="H23" s="5">
        <v>20.23</v>
      </c>
      <c r="I23" s="5">
        <v>33.81</v>
      </c>
      <c r="J23" s="5">
        <v>0</v>
      </c>
      <c r="K23" s="5">
        <v>2</v>
      </c>
      <c r="L23" s="5">
        <v>40.46</v>
      </c>
      <c r="M23" s="5">
        <v>0</v>
      </c>
      <c r="N23" s="5" t="s">
        <v>667</v>
      </c>
      <c r="O23" s="5">
        <v>61</v>
      </c>
      <c r="P23" s="7">
        <f t="shared" si="0"/>
        <v>33.81</v>
      </c>
      <c r="Q23" s="7">
        <f t="shared" si="1"/>
        <v>40.46</v>
      </c>
      <c r="R23" s="7">
        <f t="shared" si="2"/>
        <v>0</v>
      </c>
      <c r="S23" s="7" t="str">
        <f t="shared" si="3"/>
        <v>✓ 通過</v>
      </c>
      <c r="T23" s="7" t="s">
        <v>99</v>
      </c>
      <c r="U23" s="6"/>
      <c r="V23" s="6"/>
    </row>
    <row r="24" spans="1:22" ht="27.6">
      <c r="A24" s="5" t="s">
        <v>668</v>
      </c>
      <c r="B24" s="5" t="s">
        <v>598</v>
      </c>
      <c r="C24" s="5" t="s">
        <v>642</v>
      </c>
      <c r="D24" s="5" t="s">
        <v>646</v>
      </c>
      <c r="E24" s="5" t="s">
        <v>623</v>
      </c>
      <c r="F24" s="5">
        <v>13.58</v>
      </c>
      <c r="G24" s="5" t="s">
        <v>647</v>
      </c>
      <c r="H24" s="5">
        <v>17.5</v>
      </c>
      <c r="I24" s="5">
        <v>31.08</v>
      </c>
      <c r="J24" s="5">
        <v>0</v>
      </c>
      <c r="K24" s="5">
        <v>2</v>
      </c>
      <c r="L24" s="5">
        <v>35</v>
      </c>
      <c r="M24" s="5">
        <v>-8.19</v>
      </c>
      <c r="N24" s="5" t="s">
        <v>667</v>
      </c>
      <c r="O24" s="5">
        <v>61</v>
      </c>
      <c r="P24" s="7">
        <f t="shared" si="0"/>
        <v>31.08</v>
      </c>
      <c r="Q24" s="7">
        <f t="shared" si="1"/>
        <v>35</v>
      </c>
      <c r="R24" s="7">
        <f t="shared" si="2"/>
        <v>-8.1900000000000119</v>
      </c>
      <c r="S24" s="7" t="str">
        <f t="shared" si="3"/>
        <v>✓ 通過</v>
      </c>
      <c r="T24" s="7" t="s">
        <v>99</v>
      </c>
      <c r="U24" s="6"/>
      <c r="V24" s="6"/>
    </row>
    <row r="25" spans="1:22" ht="27.6">
      <c r="A25" s="5" t="s">
        <v>669</v>
      </c>
      <c r="B25" s="5" t="s">
        <v>598</v>
      </c>
      <c r="C25" s="5" t="s">
        <v>642</v>
      </c>
      <c r="D25" s="5" t="s">
        <v>649</v>
      </c>
      <c r="E25" s="5" t="s">
        <v>623</v>
      </c>
      <c r="F25" s="5">
        <v>13.58</v>
      </c>
      <c r="G25" s="5" t="s">
        <v>650</v>
      </c>
      <c r="H25" s="5">
        <v>22.85</v>
      </c>
      <c r="I25" s="5">
        <v>36.43</v>
      </c>
      <c r="J25" s="5">
        <v>0</v>
      </c>
      <c r="K25" s="5">
        <v>2</v>
      </c>
      <c r="L25" s="5">
        <v>45.7</v>
      </c>
      <c r="M25" s="5">
        <v>7.86</v>
      </c>
      <c r="N25" s="5" t="s">
        <v>667</v>
      </c>
      <c r="O25" s="5">
        <v>61</v>
      </c>
      <c r="P25" s="7">
        <f t="shared" si="0"/>
        <v>36.43</v>
      </c>
      <c r="Q25" s="7">
        <f t="shared" si="1"/>
        <v>45.7</v>
      </c>
      <c r="R25" s="7">
        <f t="shared" si="2"/>
        <v>7.8599999999999852</v>
      </c>
      <c r="S25" s="7" t="str">
        <f t="shared" si="3"/>
        <v>✓ 通過</v>
      </c>
      <c r="T25" s="7" t="s">
        <v>99</v>
      </c>
      <c r="U25" s="6"/>
      <c r="V25" s="6"/>
    </row>
    <row r="26" spans="1:22" ht="27.6">
      <c r="A26" s="5" t="s">
        <v>670</v>
      </c>
      <c r="B26" s="5" t="s">
        <v>598</v>
      </c>
      <c r="C26" s="5" t="s">
        <v>642</v>
      </c>
      <c r="D26" s="5" t="s">
        <v>652</v>
      </c>
      <c r="E26" s="5" t="s">
        <v>623</v>
      </c>
      <c r="F26" s="5">
        <v>13.58</v>
      </c>
      <c r="G26" s="5" t="s">
        <v>653</v>
      </c>
      <c r="H26" s="5">
        <v>14.87</v>
      </c>
      <c r="I26" s="5">
        <v>28.45</v>
      </c>
      <c r="J26" s="5">
        <v>0</v>
      </c>
      <c r="K26" s="5">
        <v>2</v>
      </c>
      <c r="L26" s="5">
        <v>29.74</v>
      </c>
      <c r="M26" s="5">
        <v>-16.079999999999998</v>
      </c>
      <c r="N26" s="5" t="s">
        <v>667</v>
      </c>
      <c r="O26" s="5">
        <v>61</v>
      </c>
      <c r="P26" s="7">
        <f t="shared" si="0"/>
        <v>28.45</v>
      </c>
      <c r="Q26" s="7">
        <f t="shared" si="1"/>
        <v>29.74</v>
      </c>
      <c r="R26" s="7">
        <f t="shared" si="2"/>
        <v>-16.080000000000013</v>
      </c>
      <c r="S26" s="7" t="str">
        <f t="shared" si="3"/>
        <v>✓ 通過</v>
      </c>
      <c r="T26" s="7" t="s">
        <v>99</v>
      </c>
      <c r="U26" s="6"/>
      <c r="V26" s="6"/>
    </row>
    <row r="27" spans="1:22" ht="27.6">
      <c r="A27" s="5" t="s">
        <v>671</v>
      </c>
      <c r="B27" s="5" t="s">
        <v>598</v>
      </c>
      <c r="C27" s="5" t="s">
        <v>642</v>
      </c>
      <c r="D27" s="5" t="s">
        <v>655</v>
      </c>
      <c r="E27" s="5" t="s">
        <v>623</v>
      </c>
      <c r="F27" s="5">
        <v>13.58</v>
      </c>
      <c r="G27" s="5" t="s">
        <v>656</v>
      </c>
      <c r="H27" s="5">
        <v>16.239999999999998</v>
      </c>
      <c r="I27" s="5">
        <v>29.82</v>
      </c>
      <c r="J27" s="5">
        <v>0</v>
      </c>
      <c r="K27" s="5">
        <v>2</v>
      </c>
      <c r="L27" s="5">
        <v>32.479999999999997</v>
      </c>
      <c r="M27" s="5">
        <v>-11.97</v>
      </c>
      <c r="N27" s="5" t="s">
        <v>667</v>
      </c>
      <c r="O27" s="5">
        <v>61</v>
      </c>
      <c r="P27" s="7">
        <f t="shared" si="0"/>
        <v>29.82</v>
      </c>
      <c r="Q27" s="7">
        <f t="shared" si="1"/>
        <v>32.479999999999997</v>
      </c>
      <c r="R27" s="7">
        <f t="shared" si="2"/>
        <v>-11.970000000000013</v>
      </c>
      <c r="S27" s="7" t="str">
        <f t="shared" si="3"/>
        <v>✓ 通過</v>
      </c>
      <c r="T27" s="7" t="s">
        <v>99</v>
      </c>
      <c r="U27" s="6"/>
      <c r="V27" s="6"/>
    </row>
    <row r="28" spans="1:22" ht="27.6">
      <c r="A28" s="5" t="s">
        <v>672</v>
      </c>
      <c r="B28" s="5" t="s">
        <v>598</v>
      </c>
      <c r="C28" s="5" t="s">
        <v>642</v>
      </c>
      <c r="D28" s="5" t="s">
        <v>658</v>
      </c>
      <c r="E28" s="5" t="s">
        <v>623</v>
      </c>
      <c r="F28" s="5">
        <v>13.58</v>
      </c>
      <c r="G28" s="5" t="s">
        <v>659</v>
      </c>
      <c r="H28" s="5">
        <v>5.29</v>
      </c>
      <c r="I28" s="5">
        <v>18.87</v>
      </c>
      <c r="J28" s="5">
        <v>0</v>
      </c>
      <c r="K28" s="5">
        <v>2</v>
      </c>
      <c r="L28" s="5">
        <v>15.87</v>
      </c>
      <c r="M28" s="5">
        <v>-39.53</v>
      </c>
      <c r="N28" s="5" t="s">
        <v>667</v>
      </c>
      <c r="O28" s="5">
        <v>61</v>
      </c>
      <c r="P28" s="7">
        <f t="shared" si="0"/>
        <v>18.87</v>
      </c>
      <c r="Q28" s="7">
        <f t="shared" si="1"/>
        <v>10.58</v>
      </c>
      <c r="R28" s="7">
        <f t="shared" si="2"/>
        <v>-39.530000000000008</v>
      </c>
      <c r="S28" s="7" t="str">
        <f t="shared" si="3"/>
        <v xml:space="preserve">⚠ 更新不符 </v>
      </c>
      <c r="T28" s="7" t="s">
        <v>99</v>
      </c>
      <c r="U28" s="6"/>
      <c r="V28" s="6"/>
    </row>
    <row r="29" spans="1:22">
      <c r="A29" s="5" t="s">
        <v>673</v>
      </c>
      <c r="B29" s="5" t="s">
        <v>606</v>
      </c>
      <c r="C29" s="5" t="s">
        <v>621</v>
      </c>
      <c r="D29" s="8" t="s">
        <v>622</v>
      </c>
      <c r="E29" s="5" t="s">
        <v>623</v>
      </c>
      <c r="F29" s="5">
        <v>13.58</v>
      </c>
      <c r="G29" s="5" t="s">
        <v>624</v>
      </c>
      <c r="H29" s="5">
        <v>19.649999999999999</v>
      </c>
      <c r="I29" s="5">
        <v>33.229999999999997</v>
      </c>
      <c r="J29" s="5">
        <v>0</v>
      </c>
      <c r="K29" s="5">
        <v>0.5</v>
      </c>
      <c r="L29" s="5">
        <v>9.83</v>
      </c>
      <c r="M29" s="5">
        <v>0</v>
      </c>
      <c r="N29" s="5" t="s">
        <v>673</v>
      </c>
      <c r="O29" s="5">
        <v>61</v>
      </c>
      <c r="P29" s="7">
        <f t="shared" si="0"/>
        <v>33.229999999999997</v>
      </c>
      <c r="Q29" s="7">
        <f t="shared" si="1"/>
        <v>9.8249999999999993</v>
      </c>
      <c r="R29" s="7">
        <f t="shared" si="2"/>
        <v>0</v>
      </c>
      <c r="S29" s="7" t="str">
        <f t="shared" si="3"/>
        <v>✓ 通過</v>
      </c>
      <c r="T29" s="7" t="s">
        <v>99</v>
      </c>
      <c r="U29" s="6"/>
      <c r="V29" s="6"/>
    </row>
    <row r="30" spans="1:22">
      <c r="A30" s="5" t="s">
        <v>674</v>
      </c>
      <c r="B30" s="5" t="s">
        <v>606</v>
      </c>
      <c r="C30" s="5" t="s">
        <v>621</v>
      </c>
      <c r="D30" s="5" t="s">
        <v>626</v>
      </c>
      <c r="E30" s="5" t="s">
        <v>627</v>
      </c>
      <c r="F30" s="5">
        <v>0.97</v>
      </c>
      <c r="G30" s="5" t="s">
        <v>628</v>
      </c>
      <c r="H30" s="5">
        <v>0</v>
      </c>
      <c r="I30" s="5">
        <v>0.97</v>
      </c>
      <c r="J30" s="5">
        <v>0</v>
      </c>
      <c r="K30" s="5">
        <v>0.5</v>
      </c>
      <c r="L30" s="5">
        <v>0</v>
      </c>
      <c r="M30" s="5">
        <v>-42.085000000000001</v>
      </c>
      <c r="N30" s="5" t="s">
        <v>673</v>
      </c>
      <c r="O30" s="5">
        <v>61</v>
      </c>
      <c r="P30" s="7">
        <f t="shared" si="0"/>
        <v>0.97</v>
      </c>
      <c r="Q30" s="7">
        <f t="shared" si="1"/>
        <v>0</v>
      </c>
      <c r="R30" s="7">
        <f t="shared" si="2"/>
        <v>-42.089999999999996</v>
      </c>
      <c r="S30" s="7" t="str">
        <f t="shared" si="3"/>
        <v>✓ 通過</v>
      </c>
      <c r="T30" s="7" t="s">
        <v>99</v>
      </c>
      <c r="U30" s="6"/>
      <c r="V30" s="6"/>
    </row>
    <row r="31" spans="1:22">
      <c r="A31" s="5" t="s">
        <v>675</v>
      </c>
      <c r="B31" s="5" t="s">
        <v>606</v>
      </c>
      <c r="C31" s="5" t="s">
        <v>621</v>
      </c>
      <c r="D31" s="5" t="s">
        <v>630</v>
      </c>
      <c r="E31" s="5" t="s">
        <v>623</v>
      </c>
      <c r="F31" s="5">
        <v>13.58</v>
      </c>
      <c r="G31" s="5" t="s">
        <v>628</v>
      </c>
      <c r="H31" s="5">
        <v>0</v>
      </c>
      <c r="I31" s="5">
        <v>13.58</v>
      </c>
      <c r="J31" s="5">
        <v>0</v>
      </c>
      <c r="K31" s="5">
        <v>0.5</v>
      </c>
      <c r="L31" s="5">
        <v>0</v>
      </c>
      <c r="M31" s="5">
        <v>-29.475000000000001</v>
      </c>
      <c r="N31" s="5" t="s">
        <v>673</v>
      </c>
      <c r="O31" s="5">
        <v>61</v>
      </c>
      <c r="P31" s="7">
        <f t="shared" si="0"/>
        <v>13.58</v>
      </c>
      <c r="Q31" s="7">
        <f t="shared" si="1"/>
        <v>0</v>
      </c>
      <c r="R31" s="7">
        <f t="shared" si="2"/>
        <v>-29.479999999999997</v>
      </c>
      <c r="S31" s="7" t="str">
        <f t="shared" si="3"/>
        <v>✓ 通過</v>
      </c>
      <c r="T31" s="7" t="s">
        <v>99</v>
      </c>
      <c r="U31" s="6"/>
      <c r="V31" s="6"/>
    </row>
    <row r="32" spans="1:22">
      <c r="A32" s="5" t="s">
        <v>676</v>
      </c>
      <c r="B32" s="5" t="s">
        <v>606</v>
      </c>
      <c r="C32" s="5" t="s">
        <v>621</v>
      </c>
      <c r="D32" s="5" t="s">
        <v>664</v>
      </c>
      <c r="E32" s="5" t="s">
        <v>633</v>
      </c>
      <c r="F32" s="5">
        <v>18.100000000000001</v>
      </c>
      <c r="G32" s="5" t="s">
        <v>634</v>
      </c>
      <c r="H32" s="5">
        <v>3.67</v>
      </c>
      <c r="I32" s="5">
        <v>21.77</v>
      </c>
      <c r="J32" s="5">
        <v>0</v>
      </c>
      <c r="K32" s="5">
        <v>0.5</v>
      </c>
      <c r="L32" s="5">
        <v>1.84</v>
      </c>
      <c r="M32" s="5">
        <v>-19.45</v>
      </c>
      <c r="N32" s="5" t="s">
        <v>673</v>
      </c>
      <c r="O32" s="5">
        <v>61</v>
      </c>
      <c r="P32" s="7">
        <f t="shared" si="0"/>
        <v>21.770000000000003</v>
      </c>
      <c r="Q32" s="7">
        <f t="shared" si="1"/>
        <v>1.835</v>
      </c>
      <c r="R32" s="7">
        <f t="shared" si="2"/>
        <v>-19.449999999999996</v>
      </c>
      <c r="S32" s="7" t="str">
        <f t="shared" si="3"/>
        <v>✓ 通過</v>
      </c>
      <c r="T32" s="7" t="s">
        <v>99</v>
      </c>
      <c r="U32" s="6"/>
      <c r="V32" s="6"/>
    </row>
    <row r="33" spans="1:22">
      <c r="A33" s="5" t="s">
        <v>677</v>
      </c>
      <c r="B33" s="5" t="s">
        <v>606</v>
      </c>
      <c r="C33" s="5" t="s">
        <v>621</v>
      </c>
      <c r="D33" s="5" t="s">
        <v>636</v>
      </c>
      <c r="E33" s="5" t="s">
        <v>637</v>
      </c>
      <c r="F33" s="5">
        <v>25.03</v>
      </c>
      <c r="G33" s="5" t="s">
        <v>628</v>
      </c>
      <c r="H33" s="5">
        <v>0</v>
      </c>
      <c r="I33" s="5">
        <v>25.03</v>
      </c>
      <c r="J33" s="5">
        <v>0</v>
      </c>
      <c r="K33" s="5">
        <v>0.5</v>
      </c>
      <c r="L33" s="5">
        <v>0</v>
      </c>
      <c r="M33" s="5">
        <v>-18.024999999999999</v>
      </c>
      <c r="N33" s="5" t="s">
        <v>673</v>
      </c>
      <c r="O33" s="5">
        <v>61</v>
      </c>
      <c r="P33" s="7">
        <f t="shared" si="0"/>
        <v>25.03</v>
      </c>
      <c r="Q33" s="7">
        <f t="shared" si="1"/>
        <v>0</v>
      </c>
      <c r="R33" s="7">
        <f t="shared" si="2"/>
        <v>-18.029999999999994</v>
      </c>
      <c r="S33" s="7" t="str">
        <f t="shared" si="3"/>
        <v>✓ 通過</v>
      </c>
      <c r="T33" s="7" t="s">
        <v>99</v>
      </c>
      <c r="U33" s="6"/>
      <c r="V33" s="6"/>
    </row>
    <row r="34" spans="1:22" ht="27.6">
      <c r="A34" s="5" t="s">
        <v>678</v>
      </c>
      <c r="B34" s="5" t="s">
        <v>606</v>
      </c>
      <c r="C34" s="5" t="s">
        <v>621</v>
      </c>
      <c r="D34" s="5" t="s">
        <v>639</v>
      </c>
      <c r="E34" s="5" t="s">
        <v>623</v>
      </c>
      <c r="F34" s="5">
        <v>13.58</v>
      </c>
      <c r="G34" s="5" t="s">
        <v>640</v>
      </c>
      <c r="H34" s="5">
        <v>7.52</v>
      </c>
      <c r="I34" s="5">
        <v>21.1</v>
      </c>
      <c r="J34" s="5">
        <v>0</v>
      </c>
      <c r="K34" s="5">
        <v>0.5</v>
      </c>
      <c r="L34" s="5">
        <v>3.76</v>
      </c>
      <c r="M34" s="5">
        <v>-18.195</v>
      </c>
      <c r="N34" s="5" t="s">
        <v>673</v>
      </c>
      <c r="O34" s="5">
        <v>61</v>
      </c>
      <c r="P34" s="7">
        <f t="shared" si="0"/>
        <v>21.1</v>
      </c>
      <c r="Q34" s="7">
        <f t="shared" si="1"/>
        <v>3.76</v>
      </c>
      <c r="R34" s="7">
        <f t="shared" si="2"/>
        <v>-18.199999999999996</v>
      </c>
      <c r="S34" s="7" t="str">
        <f t="shared" si="3"/>
        <v>✓ 通過</v>
      </c>
      <c r="T34" s="7" t="s">
        <v>99</v>
      </c>
      <c r="U34" s="6"/>
      <c r="V34" s="6"/>
    </row>
    <row r="35" spans="1:22" ht="27.6">
      <c r="A35" s="5" t="s">
        <v>679</v>
      </c>
      <c r="B35" s="5" t="s">
        <v>606</v>
      </c>
      <c r="C35" s="5" t="s">
        <v>642</v>
      </c>
      <c r="D35" s="8" t="s">
        <v>643</v>
      </c>
      <c r="E35" s="5" t="s">
        <v>623</v>
      </c>
      <c r="F35" s="5">
        <v>13.58</v>
      </c>
      <c r="G35" s="5" t="s">
        <v>644</v>
      </c>
      <c r="H35" s="5">
        <v>20.23</v>
      </c>
      <c r="I35" s="5">
        <v>33.81</v>
      </c>
      <c r="J35" s="5">
        <v>0</v>
      </c>
      <c r="K35" s="5">
        <v>0.5</v>
      </c>
      <c r="L35" s="5">
        <v>10.115</v>
      </c>
      <c r="M35" s="5">
        <v>0</v>
      </c>
      <c r="N35" s="5" t="s">
        <v>679</v>
      </c>
      <c r="O35" s="5">
        <v>61</v>
      </c>
      <c r="P35" s="7">
        <f t="shared" si="0"/>
        <v>33.81</v>
      </c>
      <c r="Q35" s="7">
        <f t="shared" si="1"/>
        <v>10.115</v>
      </c>
      <c r="R35" s="7">
        <f t="shared" si="2"/>
        <v>0</v>
      </c>
      <c r="S35" s="7" t="str">
        <f t="shared" si="3"/>
        <v>✓ 通過</v>
      </c>
      <c r="T35" s="7" t="s">
        <v>99</v>
      </c>
      <c r="U35" s="6"/>
      <c r="V35" s="6"/>
    </row>
    <row r="36" spans="1:22" ht="27.6">
      <c r="A36" s="5" t="s">
        <v>680</v>
      </c>
      <c r="B36" s="5" t="s">
        <v>606</v>
      </c>
      <c r="C36" s="5" t="s">
        <v>642</v>
      </c>
      <c r="D36" s="5" t="s">
        <v>646</v>
      </c>
      <c r="E36" s="5" t="s">
        <v>623</v>
      </c>
      <c r="F36" s="5">
        <v>13.58</v>
      </c>
      <c r="G36" s="5" t="s">
        <v>647</v>
      </c>
      <c r="H36" s="5">
        <v>17.5</v>
      </c>
      <c r="I36" s="5">
        <v>31.08</v>
      </c>
      <c r="J36" s="5">
        <v>0</v>
      </c>
      <c r="K36" s="5">
        <v>0.5</v>
      </c>
      <c r="L36" s="5">
        <v>8.75</v>
      </c>
      <c r="M36" s="5">
        <v>-4.0949999999999998</v>
      </c>
      <c r="N36" s="5" t="s">
        <v>679</v>
      </c>
      <c r="O36" s="5">
        <v>61</v>
      </c>
      <c r="P36" s="7">
        <f t="shared" si="0"/>
        <v>31.08</v>
      </c>
      <c r="Q36" s="7">
        <f t="shared" si="1"/>
        <v>8.75</v>
      </c>
      <c r="R36" s="7">
        <f t="shared" si="2"/>
        <v>-4.095000000000006</v>
      </c>
      <c r="S36" s="7" t="str">
        <f t="shared" si="3"/>
        <v>✓ 通過</v>
      </c>
      <c r="T36" s="7" t="s">
        <v>99</v>
      </c>
      <c r="U36" s="6"/>
      <c r="V36" s="6"/>
    </row>
    <row r="37" spans="1:22" ht="27.6">
      <c r="A37" s="5" t="s">
        <v>681</v>
      </c>
      <c r="B37" s="5" t="s">
        <v>606</v>
      </c>
      <c r="C37" s="5" t="s">
        <v>642</v>
      </c>
      <c r="D37" s="5" t="s">
        <v>649</v>
      </c>
      <c r="E37" s="5" t="s">
        <v>623</v>
      </c>
      <c r="F37" s="5">
        <v>13.58</v>
      </c>
      <c r="G37" s="5" t="s">
        <v>650</v>
      </c>
      <c r="H37" s="5">
        <v>22.85</v>
      </c>
      <c r="I37" s="5">
        <v>36.43</v>
      </c>
      <c r="J37" s="5">
        <v>0</v>
      </c>
      <c r="K37" s="5">
        <v>0.5</v>
      </c>
      <c r="L37" s="5">
        <v>11.425000000000001</v>
      </c>
      <c r="M37" s="5">
        <v>3.93</v>
      </c>
      <c r="N37" s="5" t="s">
        <v>679</v>
      </c>
      <c r="O37" s="5">
        <v>61</v>
      </c>
      <c r="P37" s="7">
        <f t="shared" si="0"/>
        <v>36.43</v>
      </c>
      <c r="Q37" s="7">
        <f t="shared" si="1"/>
        <v>11.425000000000001</v>
      </c>
      <c r="R37" s="7">
        <f t="shared" si="2"/>
        <v>3.9299999999999997</v>
      </c>
      <c r="S37" s="7" t="str">
        <f t="shared" si="3"/>
        <v>✓ 通過</v>
      </c>
      <c r="T37" s="7" t="s">
        <v>99</v>
      </c>
      <c r="U37" s="6"/>
      <c r="V37" s="6"/>
    </row>
    <row r="38" spans="1:22" ht="27.6">
      <c r="A38" s="5" t="s">
        <v>682</v>
      </c>
      <c r="B38" s="5" t="s">
        <v>606</v>
      </c>
      <c r="C38" s="5" t="s">
        <v>642</v>
      </c>
      <c r="D38" s="5" t="s">
        <v>652</v>
      </c>
      <c r="E38" s="5" t="s">
        <v>623</v>
      </c>
      <c r="F38" s="5">
        <v>13.58</v>
      </c>
      <c r="G38" s="5" t="s">
        <v>653</v>
      </c>
      <c r="H38" s="5">
        <v>14.87</v>
      </c>
      <c r="I38" s="5">
        <v>28.45</v>
      </c>
      <c r="J38" s="5">
        <v>0</v>
      </c>
      <c r="K38" s="5">
        <v>0.5</v>
      </c>
      <c r="L38" s="5">
        <v>7.4349999999999996</v>
      </c>
      <c r="M38" s="5">
        <v>-8.0399999999999991</v>
      </c>
      <c r="N38" s="5" t="s">
        <v>679</v>
      </c>
      <c r="O38" s="5">
        <v>61</v>
      </c>
      <c r="P38" s="7">
        <f t="shared" si="0"/>
        <v>28.45</v>
      </c>
      <c r="Q38" s="7">
        <f t="shared" si="1"/>
        <v>7.4349999999999996</v>
      </c>
      <c r="R38" s="7">
        <f t="shared" si="2"/>
        <v>-8.0400000000000063</v>
      </c>
      <c r="S38" s="7" t="str">
        <f t="shared" si="3"/>
        <v>✓ 通過</v>
      </c>
      <c r="T38" s="7" t="s">
        <v>99</v>
      </c>
      <c r="U38" s="6"/>
      <c r="V38" s="6"/>
    </row>
    <row r="39" spans="1:22" ht="27.6">
      <c r="A39" s="5" t="s">
        <v>683</v>
      </c>
      <c r="B39" s="5" t="s">
        <v>606</v>
      </c>
      <c r="C39" s="5" t="s">
        <v>642</v>
      </c>
      <c r="D39" s="5" t="s">
        <v>655</v>
      </c>
      <c r="E39" s="5" t="s">
        <v>623</v>
      </c>
      <c r="F39" s="5">
        <v>13.58</v>
      </c>
      <c r="G39" s="5" t="s">
        <v>656</v>
      </c>
      <c r="H39" s="5">
        <v>16.239999999999998</v>
      </c>
      <c r="I39" s="5">
        <v>29.82</v>
      </c>
      <c r="J39" s="5">
        <v>0</v>
      </c>
      <c r="K39" s="5">
        <v>0.5</v>
      </c>
      <c r="L39" s="5">
        <v>8.1199999999999992</v>
      </c>
      <c r="M39" s="5">
        <v>-5.9850000000000003</v>
      </c>
      <c r="N39" s="5" t="s">
        <v>679</v>
      </c>
      <c r="O39" s="5">
        <v>62</v>
      </c>
      <c r="P39" s="7">
        <f t="shared" si="0"/>
        <v>29.82</v>
      </c>
      <c r="Q39" s="7">
        <f t="shared" si="1"/>
        <v>8.1199999999999992</v>
      </c>
      <c r="R39" s="7">
        <f t="shared" si="2"/>
        <v>-5.9850000000000065</v>
      </c>
      <c r="S39" s="7" t="str">
        <f t="shared" si="3"/>
        <v>✓ 通過</v>
      </c>
      <c r="T39" s="7" t="s">
        <v>99</v>
      </c>
      <c r="U39" s="6"/>
      <c r="V39" s="6"/>
    </row>
    <row r="40" spans="1:22" ht="27.6">
      <c r="A40" s="5" t="s">
        <v>684</v>
      </c>
      <c r="B40" s="5" t="s">
        <v>606</v>
      </c>
      <c r="C40" s="5" t="s">
        <v>642</v>
      </c>
      <c r="D40" s="5" t="s">
        <v>658</v>
      </c>
      <c r="E40" s="5" t="s">
        <v>623</v>
      </c>
      <c r="F40" s="5">
        <v>13.58</v>
      </c>
      <c r="G40" s="5" t="s">
        <v>659</v>
      </c>
      <c r="H40" s="5">
        <v>5.29</v>
      </c>
      <c r="I40" s="5">
        <v>18.87</v>
      </c>
      <c r="J40" s="5">
        <v>0</v>
      </c>
      <c r="K40" s="5">
        <v>0.5</v>
      </c>
      <c r="L40" s="5">
        <v>2.645</v>
      </c>
      <c r="M40" s="5">
        <v>-22.41</v>
      </c>
      <c r="N40" s="5" t="s">
        <v>679</v>
      </c>
      <c r="O40" s="5">
        <v>62</v>
      </c>
      <c r="P40" s="7">
        <f t="shared" si="0"/>
        <v>18.87</v>
      </c>
      <c r="Q40" s="7">
        <f t="shared" si="1"/>
        <v>2.645</v>
      </c>
      <c r="R40" s="7">
        <f t="shared" si="2"/>
        <v>-22.410000000000004</v>
      </c>
      <c r="S40" s="7" t="str">
        <f t="shared" si="3"/>
        <v>✓ 通過</v>
      </c>
      <c r="T40" s="7" t="s">
        <v>99</v>
      </c>
      <c r="U40" s="6"/>
      <c r="V40" s="6"/>
    </row>
    <row r="41" spans="1:22" ht="27.6">
      <c r="A41" s="5" t="s">
        <v>685</v>
      </c>
      <c r="B41" s="5" t="s">
        <v>686</v>
      </c>
      <c r="C41" s="5" t="s">
        <v>621</v>
      </c>
      <c r="D41" s="8" t="s">
        <v>687</v>
      </c>
      <c r="E41" s="5" t="s">
        <v>688</v>
      </c>
      <c r="F41" s="5">
        <v>16.010000000000002</v>
      </c>
      <c r="G41" s="5" t="s">
        <v>624</v>
      </c>
      <c r="H41" s="5">
        <v>19.649999999999999</v>
      </c>
      <c r="I41" s="5">
        <v>35.659999999999997</v>
      </c>
      <c r="J41" s="5">
        <v>0</v>
      </c>
      <c r="K41" s="5">
        <v>0.5</v>
      </c>
      <c r="L41" s="5">
        <v>9.8249999999999993</v>
      </c>
      <c r="M41" s="5">
        <v>0</v>
      </c>
      <c r="N41" s="5" t="s">
        <v>685</v>
      </c>
      <c r="O41" s="5">
        <v>62</v>
      </c>
      <c r="P41" s="7">
        <f t="shared" si="0"/>
        <v>35.659999999999997</v>
      </c>
      <c r="Q41" s="7">
        <f t="shared" si="1"/>
        <v>9.8249999999999993</v>
      </c>
      <c r="R41" s="7">
        <f t="shared" si="2"/>
        <v>0</v>
      </c>
      <c r="S41" s="7" t="str">
        <f t="shared" si="3"/>
        <v>✓ 通過</v>
      </c>
      <c r="T41" s="7" t="s">
        <v>99</v>
      </c>
      <c r="U41" s="6"/>
      <c r="V41" s="6"/>
    </row>
    <row r="42" spans="1:22" ht="27.6">
      <c r="A42" s="5" t="s">
        <v>689</v>
      </c>
      <c r="B42" s="5" t="s">
        <v>686</v>
      </c>
      <c r="C42" s="5" t="s">
        <v>621</v>
      </c>
      <c r="D42" s="5" t="s">
        <v>690</v>
      </c>
      <c r="E42" s="5" t="s">
        <v>691</v>
      </c>
      <c r="F42" s="5">
        <v>22.19</v>
      </c>
      <c r="G42" s="5" t="s">
        <v>624</v>
      </c>
      <c r="H42" s="5">
        <v>19.649999999999999</v>
      </c>
      <c r="I42" s="5">
        <v>41.84</v>
      </c>
      <c r="J42" s="5">
        <v>0</v>
      </c>
      <c r="K42" s="5">
        <v>0.5</v>
      </c>
      <c r="L42" s="5">
        <v>9.8249999999999993</v>
      </c>
      <c r="M42" s="5">
        <v>4.63</v>
      </c>
      <c r="N42" s="5" t="s">
        <v>685</v>
      </c>
      <c r="O42" s="5">
        <v>62</v>
      </c>
      <c r="P42" s="7">
        <f t="shared" si="0"/>
        <v>41.84</v>
      </c>
      <c r="Q42" s="7">
        <f t="shared" si="1"/>
        <v>9.8249999999999993</v>
      </c>
      <c r="R42" s="7">
        <f t="shared" si="2"/>
        <v>6.1800000000000068</v>
      </c>
      <c r="S42" s="7" t="str">
        <f t="shared" si="3"/>
        <v>⚠ 減碳量不符</v>
      </c>
      <c r="T42" s="7" t="s">
        <v>99</v>
      </c>
      <c r="U42" s="6"/>
      <c r="V42" s="6"/>
    </row>
    <row r="43" spans="1:22" ht="27.6">
      <c r="A43" s="5" t="s">
        <v>692</v>
      </c>
      <c r="B43" s="5" t="s">
        <v>686</v>
      </c>
      <c r="C43" s="5" t="s">
        <v>621</v>
      </c>
      <c r="D43" s="5" t="s">
        <v>693</v>
      </c>
      <c r="E43" s="5" t="s">
        <v>691</v>
      </c>
      <c r="F43" s="5">
        <v>22.19</v>
      </c>
      <c r="G43" s="5" t="s">
        <v>659</v>
      </c>
      <c r="H43" s="5">
        <v>5.29</v>
      </c>
      <c r="I43" s="5">
        <v>27.48</v>
      </c>
      <c r="J43" s="5">
        <v>0</v>
      </c>
      <c r="K43" s="5">
        <v>0.5</v>
      </c>
      <c r="L43" s="5">
        <v>2.645</v>
      </c>
      <c r="M43" s="5">
        <v>-16.91</v>
      </c>
      <c r="N43" s="5" t="s">
        <v>685</v>
      </c>
      <c r="O43" s="5">
        <v>62</v>
      </c>
      <c r="P43" s="7">
        <f t="shared" si="0"/>
        <v>27.48</v>
      </c>
      <c r="Q43" s="7">
        <f t="shared" si="1"/>
        <v>2.645</v>
      </c>
      <c r="R43" s="7">
        <f t="shared" si="2"/>
        <v>-15.36</v>
      </c>
      <c r="S43" s="7" t="str">
        <f t="shared" si="3"/>
        <v>⚠ 減碳量不符</v>
      </c>
      <c r="T43" s="7" t="s">
        <v>99</v>
      </c>
      <c r="U43" s="6"/>
      <c r="V43" s="6"/>
    </row>
    <row r="44" spans="1:22" ht="27.6">
      <c r="A44" s="5" t="s">
        <v>694</v>
      </c>
      <c r="B44" s="5" t="s">
        <v>686</v>
      </c>
      <c r="C44" s="5" t="s">
        <v>642</v>
      </c>
      <c r="D44" s="8" t="s">
        <v>695</v>
      </c>
      <c r="E44" s="5" t="s">
        <v>691</v>
      </c>
      <c r="F44" s="5">
        <v>22.19</v>
      </c>
      <c r="G44" s="5" t="s">
        <v>696</v>
      </c>
      <c r="H44" s="5">
        <v>16.23</v>
      </c>
      <c r="I44" s="5">
        <v>38.42</v>
      </c>
      <c r="J44" s="5">
        <v>0</v>
      </c>
      <c r="K44" s="5">
        <v>0.5</v>
      </c>
      <c r="L44" s="5">
        <v>8.1150000000000002</v>
      </c>
      <c r="M44" s="5">
        <v>0</v>
      </c>
      <c r="N44" s="5" t="s">
        <v>694</v>
      </c>
      <c r="O44" s="5">
        <v>62</v>
      </c>
      <c r="P44" s="7">
        <f t="shared" si="0"/>
        <v>38.42</v>
      </c>
      <c r="Q44" s="7">
        <f t="shared" si="1"/>
        <v>8.1150000000000002</v>
      </c>
      <c r="R44" s="7">
        <f t="shared" si="2"/>
        <v>0</v>
      </c>
      <c r="S44" s="7" t="str">
        <f t="shared" si="3"/>
        <v>✓ 通過</v>
      </c>
      <c r="T44" s="7" t="s">
        <v>99</v>
      </c>
      <c r="U44" s="6"/>
      <c r="V44" s="6"/>
    </row>
    <row r="45" spans="1:22" ht="27.6">
      <c r="A45" s="5" t="s">
        <v>697</v>
      </c>
      <c r="B45" s="5" t="s">
        <v>686</v>
      </c>
      <c r="C45" s="5" t="s">
        <v>642</v>
      </c>
      <c r="D45" s="5" t="s">
        <v>698</v>
      </c>
      <c r="E45" s="5" t="s">
        <v>699</v>
      </c>
      <c r="F45" s="5">
        <v>0</v>
      </c>
      <c r="G45" s="5" t="s">
        <v>700</v>
      </c>
      <c r="H45" s="5">
        <v>18.670000000000002</v>
      </c>
      <c r="I45" s="5">
        <v>18.670000000000002</v>
      </c>
      <c r="J45" s="5">
        <v>0</v>
      </c>
      <c r="K45" s="5">
        <v>0.5</v>
      </c>
      <c r="L45" s="5">
        <v>9.3350000000000009</v>
      </c>
      <c r="M45" s="5">
        <v>-18.53</v>
      </c>
      <c r="N45" s="5" t="s">
        <v>694</v>
      </c>
      <c r="O45" s="5">
        <v>62</v>
      </c>
      <c r="P45" s="7">
        <f t="shared" si="0"/>
        <v>18.670000000000002</v>
      </c>
      <c r="Q45" s="7">
        <f t="shared" si="1"/>
        <v>9.3350000000000009</v>
      </c>
      <c r="R45" s="7">
        <f t="shared" si="2"/>
        <v>-18.53</v>
      </c>
      <c r="S45" s="7" t="str">
        <f t="shared" si="3"/>
        <v>✓ 通過</v>
      </c>
      <c r="T45" s="7" t="s">
        <v>99</v>
      </c>
      <c r="U45" s="6"/>
      <c r="V45" s="6"/>
    </row>
    <row r="46" spans="1:22" ht="27.6">
      <c r="A46" s="5" t="s">
        <v>701</v>
      </c>
      <c r="B46" s="5" t="s">
        <v>686</v>
      </c>
      <c r="C46" s="5" t="s">
        <v>642</v>
      </c>
      <c r="D46" s="5" t="s">
        <v>702</v>
      </c>
      <c r="E46" s="5" t="s">
        <v>699</v>
      </c>
      <c r="F46" s="5">
        <v>0</v>
      </c>
      <c r="G46" s="5" t="s">
        <v>703</v>
      </c>
      <c r="H46" s="5">
        <v>42.47</v>
      </c>
      <c r="I46" s="5">
        <v>42.47</v>
      </c>
      <c r="J46" s="5">
        <v>0</v>
      </c>
      <c r="K46" s="5">
        <v>0.5</v>
      </c>
      <c r="L46" s="5">
        <v>21.234999999999999</v>
      </c>
      <c r="M46" s="5">
        <v>17.170000000000002</v>
      </c>
      <c r="N46" s="5" t="s">
        <v>694</v>
      </c>
      <c r="O46" s="5">
        <v>62</v>
      </c>
      <c r="P46" s="7">
        <f t="shared" si="0"/>
        <v>42.47</v>
      </c>
      <c r="Q46" s="7">
        <f t="shared" si="1"/>
        <v>21.234999999999999</v>
      </c>
      <c r="R46" s="7">
        <f t="shared" si="2"/>
        <v>17.169999999999995</v>
      </c>
      <c r="S46" s="7" t="str">
        <f t="shared" si="3"/>
        <v>✓ 通過</v>
      </c>
      <c r="T46" s="7" t="s">
        <v>99</v>
      </c>
      <c r="U46" s="6"/>
      <c r="V46" s="6"/>
    </row>
  </sheetData>
  <autoFilter ref="A4:V46" xr:uid="{00000000-0009-0000-0000-000008000000}"/>
  <mergeCells count="1">
    <mergeCell ref="A2:V2"/>
  </mergeCells>
  <phoneticPr fontId="5" type="noConversion"/>
  <conditionalFormatting sqref="S5:S46">
    <cfRule type="expression" dxfId="3" priority="1">
      <formula>LEFT(S5,1)="⚠"</formula>
    </cfRule>
  </conditionalFormatting>
  <conditionalFormatting sqref="T5:T46">
    <cfRule type="expression" dxfId="2" priority="2">
      <formula>T5&lt;&gt;"一致"</formula>
    </cfRule>
  </conditionalFormatting>
  <dataValidations count="1">
    <dataValidation type="list" allowBlank="1" sqref="U5:U46" xr:uid="{00000000-0002-0000-0800-000000000000}">
      <formula1>"✓ 正確,✗ 有誤,? 不確定"</formula1>
    </dataValidation>
  </dataValidations>
  <pageMargins left="0.75" right="0.75" top="1" bottom="1" header="0.5" footer="0.5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49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/>
  <cols>
    <col min="1" max="1" width="15" customWidth="1"/>
    <col min="2" max="2" width="10" customWidth="1"/>
    <col min="3" max="3" width="18" customWidth="1"/>
    <col min="4" max="4" width="34" customWidth="1"/>
    <col min="5" max="6" width="10" customWidth="1"/>
    <col min="7" max="7" width="11" customWidth="1"/>
    <col min="8" max="9" width="8" customWidth="1"/>
    <col min="10" max="10" width="12" customWidth="1"/>
    <col min="11" max="11" width="10" customWidth="1"/>
    <col min="12" max="12" width="14" customWidth="1"/>
    <col min="13" max="16" width="9" customWidth="1"/>
    <col min="17" max="17" width="16" customWidth="1"/>
    <col min="18" max="18" width="22" customWidth="1"/>
    <col min="19" max="19" width="11" customWidth="1"/>
    <col min="20" max="20" width="24" customWidth="1"/>
  </cols>
  <sheetData>
    <row r="1" spans="1:20" ht="18">
      <c r="A1" s="1" t="s">
        <v>704</v>
      </c>
    </row>
    <row r="2" spans="1:20" ht="48" customHeight="1">
      <c r="A2" s="9" t="s">
        <v>705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4" spans="1:20" ht="42" customHeight="1">
      <c r="A4" s="4" t="s">
        <v>78</v>
      </c>
      <c r="B4" s="4" t="s">
        <v>580</v>
      </c>
      <c r="C4" s="4" t="s">
        <v>706</v>
      </c>
      <c r="D4" s="4" t="s">
        <v>353</v>
      </c>
      <c r="E4" s="4" t="s">
        <v>707</v>
      </c>
      <c r="F4" s="4" t="s">
        <v>357</v>
      </c>
      <c r="G4" s="4" t="s">
        <v>708</v>
      </c>
      <c r="H4" s="4" t="s">
        <v>359</v>
      </c>
      <c r="I4" s="4" t="s">
        <v>360</v>
      </c>
      <c r="J4" s="4" t="s">
        <v>709</v>
      </c>
      <c r="K4" s="4" t="s">
        <v>710</v>
      </c>
      <c r="L4" s="4" t="s">
        <v>363</v>
      </c>
      <c r="M4" s="4" t="s">
        <v>89</v>
      </c>
      <c r="N4" s="4" t="s">
        <v>364</v>
      </c>
      <c r="O4" s="4" t="s">
        <v>365</v>
      </c>
      <c r="P4" s="4" t="s">
        <v>366</v>
      </c>
      <c r="Q4" s="4" t="s">
        <v>91</v>
      </c>
      <c r="R4" s="4" t="s">
        <v>92</v>
      </c>
      <c r="S4" s="4" t="s">
        <v>93</v>
      </c>
      <c r="T4" s="4" t="s">
        <v>33</v>
      </c>
    </row>
    <row r="5" spans="1:20" ht="27.6">
      <c r="A5" s="5" t="s">
        <v>711</v>
      </c>
      <c r="B5" s="5" t="s">
        <v>585</v>
      </c>
      <c r="C5" s="5" t="s">
        <v>712</v>
      </c>
      <c r="D5" s="8" t="s">
        <v>713</v>
      </c>
      <c r="E5" s="5">
        <v>60.1</v>
      </c>
      <c r="F5" s="5">
        <v>48.28</v>
      </c>
      <c r="G5" s="5">
        <v>108.38</v>
      </c>
      <c r="H5" s="5">
        <v>0</v>
      </c>
      <c r="I5" s="5">
        <v>3</v>
      </c>
      <c r="J5" s="5">
        <v>144.84</v>
      </c>
      <c r="K5" s="5">
        <v>0</v>
      </c>
      <c r="L5" s="5" t="s">
        <v>711</v>
      </c>
      <c r="M5" s="5">
        <v>63</v>
      </c>
      <c r="N5" s="7">
        <f t="shared" ref="N5:N49" si="0">E5+F5</f>
        <v>108.38</v>
      </c>
      <c r="O5" s="7">
        <f t="shared" ref="O5:O49" si="1">E5*H5+F5*I5</f>
        <v>144.84</v>
      </c>
      <c r="P5" s="7">
        <f t="shared" ref="P5:P49" si="2">IFERROR((G5+J5)-(INDEX($G$5:$G$49,MATCH(L5,$A$5:$A$49,0))+INDEX($J$5:$J$49,MATCH(L5,$A$5:$A$49,0))),"無基準")</f>
        <v>0</v>
      </c>
      <c r="Q5" s="7" t="str">
        <f t="shared" ref="Q5:Q49" si="3">IF(ISNUMBER(P5),IF(AND(ABS(N5-G5)&lt;=0.02,ABS(O5-J5)&lt;=0.02,ABS(P5-K5)&lt;=0.02),"✓ 通過","⚠ "&amp;IF(ABS(N5-G5)&gt;0.02,"新建不符 ","")&amp;IF(ABS(O5-J5)&gt;0.02,"更新不符 ","")&amp;IF(ABS(P5-K5)&gt;0.02,"減碳量不符","")),"⚠ 找不到基準")</f>
        <v>✓ 通過</v>
      </c>
      <c r="R5" s="7" t="s">
        <v>99</v>
      </c>
      <c r="S5" s="6"/>
      <c r="T5" s="6"/>
    </row>
    <row r="6" spans="1:20" ht="27.6">
      <c r="A6" s="5" t="s">
        <v>714</v>
      </c>
      <c r="B6" s="5" t="s">
        <v>585</v>
      </c>
      <c r="C6" s="5" t="s">
        <v>712</v>
      </c>
      <c r="D6" s="5" t="s">
        <v>715</v>
      </c>
      <c r="E6" s="5">
        <v>60.1</v>
      </c>
      <c r="F6" s="5">
        <v>84.55</v>
      </c>
      <c r="G6" s="5">
        <v>144.65</v>
      </c>
      <c r="H6" s="5">
        <v>0</v>
      </c>
      <c r="I6" s="5">
        <v>3</v>
      </c>
      <c r="J6" s="5">
        <v>253.65</v>
      </c>
      <c r="K6" s="5">
        <v>145.08000000000001</v>
      </c>
      <c r="L6" s="5" t="s">
        <v>711</v>
      </c>
      <c r="M6" s="5">
        <v>63</v>
      </c>
      <c r="N6" s="7">
        <f t="shared" si="0"/>
        <v>144.65</v>
      </c>
      <c r="O6" s="7">
        <f t="shared" si="1"/>
        <v>253.64999999999998</v>
      </c>
      <c r="P6" s="7">
        <f t="shared" si="2"/>
        <v>145.08000000000001</v>
      </c>
      <c r="Q6" s="7" t="str">
        <f t="shared" si="3"/>
        <v>✓ 通過</v>
      </c>
      <c r="R6" s="7" t="s">
        <v>99</v>
      </c>
      <c r="S6" s="6"/>
      <c r="T6" s="6"/>
    </row>
    <row r="7" spans="1:20" ht="27.6">
      <c r="A7" s="5" t="s">
        <v>716</v>
      </c>
      <c r="B7" s="5" t="s">
        <v>585</v>
      </c>
      <c r="C7" s="5" t="s">
        <v>712</v>
      </c>
      <c r="D7" s="5" t="s">
        <v>717</v>
      </c>
      <c r="E7" s="5">
        <v>60.1</v>
      </c>
      <c r="F7" s="5">
        <v>18.100000000000001</v>
      </c>
      <c r="G7" s="5">
        <v>78.2</v>
      </c>
      <c r="H7" s="5">
        <v>0</v>
      </c>
      <c r="I7" s="5">
        <v>3</v>
      </c>
      <c r="J7" s="5">
        <v>54.3</v>
      </c>
      <c r="K7" s="5">
        <v>-120.72</v>
      </c>
      <c r="L7" s="5" t="s">
        <v>711</v>
      </c>
      <c r="M7" s="5">
        <v>63</v>
      </c>
      <c r="N7" s="7">
        <f t="shared" si="0"/>
        <v>78.2</v>
      </c>
      <c r="O7" s="7">
        <f t="shared" si="1"/>
        <v>54.300000000000004</v>
      </c>
      <c r="P7" s="7">
        <f t="shared" si="2"/>
        <v>-120.72</v>
      </c>
      <c r="Q7" s="7" t="str">
        <f t="shared" si="3"/>
        <v>✓ 通過</v>
      </c>
      <c r="R7" s="7" t="s">
        <v>99</v>
      </c>
      <c r="S7" s="6"/>
      <c r="T7" s="6"/>
    </row>
    <row r="8" spans="1:20" ht="27.6">
      <c r="A8" s="5" t="s">
        <v>718</v>
      </c>
      <c r="B8" s="5" t="s">
        <v>585</v>
      </c>
      <c r="C8" s="5" t="s">
        <v>712</v>
      </c>
      <c r="D8" s="5" t="s">
        <v>719</v>
      </c>
      <c r="E8" s="5">
        <v>60.1</v>
      </c>
      <c r="F8" s="5">
        <v>8.5299999999999994</v>
      </c>
      <c r="G8" s="5">
        <v>68.63</v>
      </c>
      <c r="H8" s="5">
        <v>0</v>
      </c>
      <c r="I8" s="5">
        <v>3</v>
      </c>
      <c r="J8" s="5">
        <v>25.59</v>
      </c>
      <c r="K8" s="5">
        <v>-159</v>
      </c>
      <c r="L8" s="5" t="s">
        <v>711</v>
      </c>
      <c r="M8" s="5">
        <v>63</v>
      </c>
      <c r="N8" s="7">
        <f t="shared" si="0"/>
        <v>68.63</v>
      </c>
      <c r="O8" s="7">
        <f t="shared" si="1"/>
        <v>25.589999999999996</v>
      </c>
      <c r="P8" s="7">
        <f t="shared" si="2"/>
        <v>-159</v>
      </c>
      <c r="Q8" s="7" t="str">
        <f t="shared" si="3"/>
        <v>✓ 通過</v>
      </c>
      <c r="R8" s="7" t="s">
        <v>99</v>
      </c>
      <c r="S8" s="6"/>
      <c r="T8" s="6"/>
    </row>
    <row r="9" spans="1:20" ht="27.6">
      <c r="A9" s="5" t="s">
        <v>720</v>
      </c>
      <c r="B9" s="5" t="s">
        <v>585</v>
      </c>
      <c r="C9" s="5" t="s">
        <v>712</v>
      </c>
      <c r="D9" s="5" t="s">
        <v>721</v>
      </c>
      <c r="E9" s="5">
        <v>60.1</v>
      </c>
      <c r="F9" s="5">
        <v>36.340000000000003</v>
      </c>
      <c r="G9" s="5">
        <v>96.44</v>
      </c>
      <c r="H9" s="5">
        <v>0</v>
      </c>
      <c r="I9" s="5">
        <v>3</v>
      </c>
      <c r="J9" s="5">
        <v>109.02</v>
      </c>
      <c r="K9" s="5">
        <v>-47.76</v>
      </c>
      <c r="L9" s="5" t="s">
        <v>711</v>
      </c>
      <c r="M9" s="5">
        <v>63</v>
      </c>
      <c r="N9" s="7">
        <f t="shared" si="0"/>
        <v>96.44</v>
      </c>
      <c r="O9" s="7">
        <f t="shared" si="1"/>
        <v>109.02000000000001</v>
      </c>
      <c r="P9" s="7">
        <f t="shared" si="2"/>
        <v>-47.760000000000019</v>
      </c>
      <c r="Q9" s="7" t="str">
        <f t="shared" si="3"/>
        <v>✓ 通過</v>
      </c>
      <c r="R9" s="7" t="s">
        <v>99</v>
      </c>
      <c r="S9" s="6"/>
      <c r="T9" s="6"/>
    </row>
    <row r="10" spans="1:20" ht="27.6">
      <c r="A10" s="5" t="s">
        <v>722</v>
      </c>
      <c r="B10" s="5" t="s">
        <v>585</v>
      </c>
      <c r="C10" s="5" t="s">
        <v>712</v>
      </c>
      <c r="D10" s="5" t="s">
        <v>723</v>
      </c>
      <c r="E10" s="5">
        <v>60.1</v>
      </c>
      <c r="F10" s="5">
        <v>38.19</v>
      </c>
      <c r="G10" s="5">
        <v>98.29</v>
      </c>
      <c r="H10" s="5">
        <v>0</v>
      </c>
      <c r="I10" s="5">
        <v>3</v>
      </c>
      <c r="J10" s="5">
        <v>114.57</v>
      </c>
      <c r="K10" s="5">
        <v>-40.36</v>
      </c>
      <c r="L10" s="5" t="s">
        <v>711</v>
      </c>
      <c r="M10" s="5">
        <v>63</v>
      </c>
      <c r="N10" s="7">
        <f t="shared" si="0"/>
        <v>98.289999999999992</v>
      </c>
      <c r="O10" s="7">
        <f t="shared" si="1"/>
        <v>114.57</v>
      </c>
      <c r="P10" s="7">
        <f t="shared" si="2"/>
        <v>-40.359999999999985</v>
      </c>
      <c r="Q10" s="7" t="str">
        <f t="shared" si="3"/>
        <v>✓ 通過</v>
      </c>
      <c r="R10" s="7" t="s">
        <v>99</v>
      </c>
      <c r="S10" s="6"/>
      <c r="T10" s="6"/>
    </row>
    <row r="11" spans="1:20" ht="27.6">
      <c r="A11" s="5" t="s">
        <v>724</v>
      </c>
      <c r="B11" s="5" t="s">
        <v>585</v>
      </c>
      <c r="C11" s="5" t="s">
        <v>712</v>
      </c>
      <c r="D11" s="5" t="s">
        <v>725</v>
      </c>
      <c r="E11" s="5">
        <v>60.1</v>
      </c>
      <c r="F11" s="5">
        <v>30.04</v>
      </c>
      <c r="G11" s="5">
        <v>90.14</v>
      </c>
      <c r="H11" s="5">
        <v>0</v>
      </c>
      <c r="I11" s="5">
        <v>3</v>
      </c>
      <c r="J11" s="5">
        <v>90.12</v>
      </c>
      <c r="K11" s="5">
        <v>-72.959999999999994</v>
      </c>
      <c r="L11" s="5" t="s">
        <v>711</v>
      </c>
      <c r="M11" s="5">
        <v>63</v>
      </c>
      <c r="N11" s="7">
        <f t="shared" si="0"/>
        <v>90.14</v>
      </c>
      <c r="O11" s="7">
        <f t="shared" si="1"/>
        <v>90.12</v>
      </c>
      <c r="P11" s="7">
        <f t="shared" si="2"/>
        <v>-72.960000000000008</v>
      </c>
      <c r="Q11" s="7" t="str">
        <f t="shared" si="3"/>
        <v>✓ 通過</v>
      </c>
      <c r="R11" s="7" t="s">
        <v>99</v>
      </c>
      <c r="S11" s="6"/>
      <c r="T11" s="6"/>
    </row>
    <row r="12" spans="1:20" ht="27.6">
      <c r="A12" s="5" t="s">
        <v>726</v>
      </c>
      <c r="B12" s="5" t="s">
        <v>585</v>
      </c>
      <c r="C12" s="5" t="s">
        <v>712</v>
      </c>
      <c r="D12" s="5" t="s">
        <v>727</v>
      </c>
      <c r="E12" s="5">
        <v>60.1</v>
      </c>
      <c r="F12" s="5">
        <v>36.28</v>
      </c>
      <c r="G12" s="5">
        <v>96.38</v>
      </c>
      <c r="H12" s="5">
        <v>0</v>
      </c>
      <c r="I12" s="5">
        <v>3</v>
      </c>
      <c r="J12" s="5">
        <v>108.84</v>
      </c>
      <c r="K12" s="5">
        <v>-48</v>
      </c>
      <c r="L12" s="5" t="s">
        <v>711</v>
      </c>
      <c r="M12" s="5">
        <v>63</v>
      </c>
      <c r="N12" s="7">
        <f t="shared" si="0"/>
        <v>96.38</v>
      </c>
      <c r="O12" s="7">
        <f t="shared" si="1"/>
        <v>108.84</v>
      </c>
      <c r="P12" s="7">
        <f t="shared" si="2"/>
        <v>-48</v>
      </c>
      <c r="Q12" s="7" t="str">
        <f t="shared" si="3"/>
        <v>✓ 通過</v>
      </c>
      <c r="R12" s="7" t="s">
        <v>99</v>
      </c>
      <c r="S12" s="6"/>
      <c r="T12" s="6"/>
    </row>
    <row r="13" spans="1:20">
      <c r="A13" s="5" t="s">
        <v>728</v>
      </c>
      <c r="B13" s="5" t="s">
        <v>585</v>
      </c>
      <c r="C13" s="5" t="s">
        <v>729</v>
      </c>
      <c r="D13" s="8" t="s">
        <v>730</v>
      </c>
      <c r="E13" s="5">
        <v>2.57</v>
      </c>
      <c r="F13" s="5">
        <v>41.33</v>
      </c>
      <c r="G13" s="5">
        <v>43.9</v>
      </c>
      <c r="H13" s="5">
        <v>0</v>
      </c>
      <c r="I13" s="5">
        <v>5</v>
      </c>
      <c r="J13" s="5">
        <v>206.65</v>
      </c>
      <c r="K13" s="5">
        <v>0</v>
      </c>
      <c r="L13" s="5" t="s">
        <v>728</v>
      </c>
      <c r="M13" s="5">
        <v>63</v>
      </c>
      <c r="N13" s="7">
        <f t="shared" si="0"/>
        <v>43.9</v>
      </c>
      <c r="O13" s="7">
        <f t="shared" si="1"/>
        <v>206.64999999999998</v>
      </c>
      <c r="P13" s="7">
        <f t="shared" si="2"/>
        <v>0</v>
      </c>
      <c r="Q13" s="7" t="str">
        <f t="shared" si="3"/>
        <v>✓ 通過</v>
      </c>
      <c r="R13" s="7" t="s">
        <v>99</v>
      </c>
      <c r="S13" s="6"/>
      <c r="T13" s="6"/>
    </row>
    <row r="14" spans="1:20">
      <c r="A14" s="5" t="s">
        <v>731</v>
      </c>
      <c r="B14" s="5" t="s">
        <v>585</v>
      </c>
      <c r="C14" s="5" t="s">
        <v>729</v>
      </c>
      <c r="D14" s="5" t="s">
        <v>732</v>
      </c>
      <c r="E14" s="5">
        <v>2.57</v>
      </c>
      <c r="F14" s="5">
        <v>2.14</v>
      </c>
      <c r="G14" s="5">
        <v>4.71</v>
      </c>
      <c r="H14" s="5">
        <v>0</v>
      </c>
      <c r="I14" s="5">
        <v>5</v>
      </c>
      <c r="J14" s="5">
        <v>10.7</v>
      </c>
      <c r="K14" s="5">
        <v>-235.14</v>
      </c>
      <c r="L14" s="5" t="s">
        <v>728</v>
      </c>
      <c r="M14" s="5">
        <v>63</v>
      </c>
      <c r="N14" s="7">
        <f t="shared" si="0"/>
        <v>4.71</v>
      </c>
      <c r="O14" s="7">
        <f t="shared" si="1"/>
        <v>10.700000000000001</v>
      </c>
      <c r="P14" s="7">
        <f t="shared" si="2"/>
        <v>-235.14000000000001</v>
      </c>
      <c r="Q14" s="7" t="str">
        <f t="shared" si="3"/>
        <v>✓ 通過</v>
      </c>
      <c r="R14" s="7" t="s">
        <v>99</v>
      </c>
      <c r="S14" s="6"/>
      <c r="T14" s="6"/>
    </row>
    <row r="15" spans="1:20">
      <c r="A15" s="5" t="s">
        <v>733</v>
      </c>
      <c r="B15" s="5" t="s">
        <v>585</v>
      </c>
      <c r="C15" s="5" t="s">
        <v>729</v>
      </c>
      <c r="D15" s="5" t="s">
        <v>719</v>
      </c>
      <c r="E15" s="5">
        <v>2.57</v>
      </c>
      <c r="F15" s="5">
        <v>8.5299999999999994</v>
      </c>
      <c r="G15" s="5">
        <v>11.1</v>
      </c>
      <c r="H15" s="5">
        <v>0</v>
      </c>
      <c r="I15" s="5">
        <v>5</v>
      </c>
      <c r="J15" s="5">
        <v>42.65</v>
      </c>
      <c r="K15" s="5">
        <v>-196.8</v>
      </c>
      <c r="L15" s="5" t="s">
        <v>728</v>
      </c>
      <c r="M15" s="5">
        <v>63</v>
      </c>
      <c r="N15" s="7">
        <f t="shared" si="0"/>
        <v>11.1</v>
      </c>
      <c r="O15" s="7">
        <f t="shared" si="1"/>
        <v>42.65</v>
      </c>
      <c r="P15" s="7">
        <f t="shared" si="2"/>
        <v>-196.8</v>
      </c>
      <c r="Q15" s="7" t="str">
        <f t="shared" si="3"/>
        <v>✓ 通過</v>
      </c>
      <c r="R15" s="7" t="s">
        <v>99</v>
      </c>
      <c r="S15" s="6"/>
      <c r="T15" s="6"/>
    </row>
    <row r="16" spans="1:20">
      <c r="A16" s="5" t="s">
        <v>734</v>
      </c>
      <c r="B16" s="5" t="s">
        <v>585</v>
      </c>
      <c r="C16" s="5" t="s">
        <v>729</v>
      </c>
      <c r="D16" s="5" t="s">
        <v>735</v>
      </c>
      <c r="E16" s="5">
        <v>2.57</v>
      </c>
      <c r="F16" s="5">
        <v>22.65</v>
      </c>
      <c r="G16" s="5">
        <v>25.22</v>
      </c>
      <c r="H16" s="5">
        <v>0</v>
      </c>
      <c r="I16" s="5">
        <v>5</v>
      </c>
      <c r="J16" s="5">
        <v>113.25</v>
      </c>
      <c r="K16" s="5">
        <v>-112.08</v>
      </c>
      <c r="L16" s="5" t="s">
        <v>728</v>
      </c>
      <c r="M16" s="5">
        <v>63</v>
      </c>
      <c r="N16" s="7">
        <f t="shared" si="0"/>
        <v>25.22</v>
      </c>
      <c r="O16" s="7">
        <f t="shared" si="1"/>
        <v>113.25</v>
      </c>
      <c r="P16" s="7">
        <f t="shared" si="2"/>
        <v>-112.08000000000001</v>
      </c>
      <c r="Q16" s="7" t="str">
        <f t="shared" si="3"/>
        <v>✓ 通過</v>
      </c>
      <c r="R16" s="7" t="s">
        <v>99</v>
      </c>
      <c r="S16" s="6"/>
      <c r="T16" s="6"/>
    </row>
    <row r="17" spans="1:20">
      <c r="A17" s="5" t="s">
        <v>736</v>
      </c>
      <c r="B17" s="5" t="s">
        <v>585</v>
      </c>
      <c r="C17" s="5" t="s">
        <v>729</v>
      </c>
      <c r="D17" s="5" t="s">
        <v>737</v>
      </c>
      <c r="E17" s="5">
        <v>2.57</v>
      </c>
      <c r="F17" s="5">
        <v>12.18</v>
      </c>
      <c r="G17" s="5">
        <v>14.75</v>
      </c>
      <c r="H17" s="5">
        <v>0</v>
      </c>
      <c r="I17" s="5">
        <v>5</v>
      </c>
      <c r="J17" s="5">
        <v>60.9</v>
      </c>
      <c r="K17" s="5">
        <v>-174.9</v>
      </c>
      <c r="L17" s="5" t="s">
        <v>728</v>
      </c>
      <c r="M17" s="5">
        <v>63</v>
      </c>
      <c r="N17" s="7">
        <f t="shared" si="0"/>
        <v>14.75</v>
      </c>
      <c r="O17" s="7">
        <f t="shared" si="1"/>
        <v>60.9</v>
      </c>
      <c r="P17" s="7">
        <f t="shared" si="2"/>
        <v>-174.9</v>
      </c>
      <c r="Q17" s="7" t="str">
        <f t="shared" si="3"/>
        <v>✓ 通過</v>
      </c>
      <c r="R17" s="7" t="s">
        <v>99</v>
      </c>
      <c r="S17" s="6"/>
      <c r="T17" s="6"/>
    </row>
    <row r="18" spans="1:20">
      <c r="A18" s="5" t="s">
        <v>738</v>
      </c>
      <c r="B18" s="5" t="s">
        <v>585</v>
      </c>
      <c r="C18" s="5" t="s">
        <v>729</v>
      </c>
      <c r="D18" s="5" t="s">
        <v>739</v>
      </c>
      <c r="E18" s="5">
        <v>2.57</v>
      </c>
      <c r="F18" s="5">
        <v>58.55</v>
      </c>
      <c r="G18" s="5">
        <v>61.12</v>
      </c>
      <c r="H18" s="5">
        <v>0</v>
      </c>
      <c r="I18" s="5">
        <v>5</v>
      </c>
      <c r="J18" s="5">
        <v>292.75</v>
      </c>
      <c r="K18" s="5">
        <v>103.32</v>
      </c>
      <c r="L18" s="5" t="s">
        <v>728</v>
      </c>
      <c r="M18" s="5">
        <v>63</v>
      </c>
      <c r="N18" s="7">
        <f t="shared" si="0"/>
        <v>61.12</v>
      </c>
      <c r="O18" s="7">
        <f t="shared" si="1"/>
        <v>292.75</v>
      </c>
      <c r="P18" s="7">
        <f t="shared" si="2"/>
        <v>103.32</v>
      </c>
      <c r="Q18" s="7" t="str">
        <f t="shared" si="3"/>
        <v>✓ 通過</v>
      </c>
      <c r="R18" s="7" t="s">
        <v>99</v>
      </c>
      <c r="S18" s="6"/>
      <c r="T18" s="6"/>
    </row>
    <row r="19" spans="1:20">
      <c r="A19" s="5" t="s">
        <v>740</v>
      </c>
      <c r="B19" s="5" t="s">
        <v>585</v>
      </c>
      <c r="C19" s="5" t="s">
        <v>729</v>
      </c>
      <c r="D19" s="5" t="s">
        <v>741</v>
      </c>
      <c r="E19" s="5">
        <v>2.57</v>
      </c>
      <c r="F19" s="5">
        <v>53.8</v>
      </c>
      <c r="G19" s="5">
        <v>56.37</v>
      </c>
      <c r="H19" s="5">
        <v>0</v>
      </c>
      <c r="I19" s="5">
        <v>2</v>
      </c>
      <c r="J19" s="5">
        <v>107.6</v>
      </c>
      <c r="K19" s="5">
        <v>-86.58</v>
      </c>
      <c r="L19" s="5" t="s">
        <v>728</v>
      </c>
      <c r="M19" s="5">
        <v>63</v>
      </c>
      <c r="N19" s="7">
        <f t="shared" si="0"/>
        <v>56.37</v>
      </c>
      <c r="O19" s="7">
        <f t="shared" si="1"/>
        <v>107.6</v>
      </c>
      <c r="P19" s="7">
        <f t="shared" si="2"/>
        <v>-86.580000000000013</v>
      </c>
      <c r="Q19" s="7" t="str">
        <f t="shared" si="3"/>
        <v>✓ 通過</v>
      </c>
      <c r="R19" s="7" t="s">
        <v>99</v>
      </c>
      <c r="S19" s="6"/>
      <c r="T19" s="6"/>
    </row>
    <row r="20" spans="1:20" ht="27.6">
      <c r="A20" s="5" t="s">
        <v>742</v>
      </c>
      <c r="B20" s="5" t="s">
        <v>598</v>
      </c>
      <c r="C20" s="5" t="s">
        <v>712</v>
      </c>
      <c r="D20" s="8" t="s">
        <v>713</v>
      </c>
      <c r="E20" s="5">
        <v>60.1</v>
      </c>
      <c r="F20" s="5">
        <v>48.28</v>
      </c>
      <c r="G20" s="5">
        <v>108.38</v>
      </c>
      <c r="H20" s="5">
        <v>0</v>
      </c>
      <c r="I20" s="5">
        <v>2</v>
      </c>
      <c r="J20" s="5">
        <v>96.56</v>
      </c>
      <c r="K20" s="5">
        <v>0</v>
      </c>
      <c r="L20" s="5" t="s">
        <v>742</v>
      </c>
      <c r="M20" s="5">
        <v>63</v>
      </c>
      <c r="N20" s="7">
        <f t="shared" si="0"/>
        <v>108.38</v>
      </c>
      <c r="O20" s="7">
        <f t="shared" si="1"/>
        <v>96.56</v>
      </c>
      <c r="P20" s="7">
        <f t="shared" si="2"/>
        <v>0</v>
      </c>
      <c r="Q20" s="7" t="str">
        <f t="shared" si="3"/>
        <v>✓ 通過</v>
      </c>
      <c r="R20" s="7" t="s">
        <v>99</v>
      </c>
      <c r="S20" s="6"/>
      <c r="T20" s="6"/>
    </row>
    <row r="21" spans="1:20" ht="27.6">
      <c r="A21" s="5" t="s">
        <v>743</v>
      </c>
      <c r="B21" s="5" t="s">
        <v>598</v>
      </c>
      <c r="C21" s="5" t="s">
        <v>712</v>
      </c>
      <c r="D21" s="5" t="s">
        <v>715</v>
      </c>
      <c r="E21" s="5">
        <v>60.1</v>
      </c>
      <c r="F21" s="5">
        <v>84.55</v>
      </c>
      <c r="G21" s="5">
        <v>144.65</v>
      </c>
      <c r="H21" s="5">
        <v>0</v>
      </c>
      <c r="I21" s="5">
        <v>2</v>
      </c>
      <c r="J21" s="5">
        <v>169.1</v>
      </c>
      <c r="K21" s="5">
        <v>108.81</v>
      </c>
      <c r="L21" s="5" t="s">
        <v>742</v>
      </c>
      <c r="M21" s="5">
        <v>63</v>
      </c>
      <c r="N21" s="7">
        <f t="shared" si="0"/>
        <v>144.65</v>
      </c>
      <c r="O21" s="7">
        <f t="shared" si="1"/>
        <v>169.1</v>
      </c>
      <c r="P21" s="7">
        <f t="shared" si="2"/>
        <v>108.81</v>
      </c>
      <c r="Q21" s="7" t="str">
        <f t="shared" si="3"/>
        <v>✓ 通過</v>
      </c>
      <c r="R21" s="7" t="s">
        <v>99</v>
      </c>
      <c r="S21" s="6"/>
      <c r="T21" s="6"/>
    </row>
    <row r="22" spans="1:20" ht="27.6">
      <c r="A22" s="5" t="s">
        <v>744</v>
      </c>
      <c r="B22" s="5" t="s">
        <v>598</v>
      </c>
      <c r="C22" s="5" t="s">
        <v>712</v>
      </c>
      <c r="D22" s="5" t="s">
        <v>717</v>
      </c>
      <c r="E22" s="5">
        <v>60.1</v>
      </c>
      <c r="F22" s="5">
        <v>18.100000000000001</v>
      </c>
      <c r="G22" s="5">
        <v>78.2</v>
      </c>
      <c r="H22" s="5">
        <v>0</v>
      </c>
      <c r="I22" s="5">
        <v>2</v>
      </c>
      <c r="J22" s="5">
        <v>36.200000000000003</v>
      </c>
      <c r="K22" s="5">
        <v>-90.54</v>
      </c>
      <c r="L22" s="5" t="s">
        <v>742</v>
      </c>
      <c r="M22" s="5">
        <v>63</v>
      </c>
      <c r="N22" s="7">
        <f t="shared" si="0"/>
        <v>78.2</v>
      </c>
      <c r="O22" s="7">
        <f t="shared" si="1"/>
        <v>36.200000000000003</v>
      </c>
      <c r="P22" s="7">
        <f t="shared" si="2"/>
        <v>-90.539999999999992</v>
      </c>
      <c r="Q22" s="7" t="str">
        <f t="shared" si="3"/>
        <v>✓ 通過</v>
      </c>
      <c r="R22" s="7" t="s">
        <v>99</v>
      </c>
      <c r="S22" s="6"/>
      <c r="T22" s="6"/>
    </row>
    <row r="23" spans="1:20" ht="27.6">
      <c r="A23" s="5" t="s">
        <v>745</v>
      </c>
      <c r="B23" s="5" t="s">
        <v>598</v>
      </c>
      <c r="C23" s="5" t="s">
        <v>712</v>
      </c>
      <c r="D23" s="5" t="s">
        <v>719</v>
      </c>
      <c r="E23" s="5">
        <v>60.1</v>
      </c>
      <c r="F23" s="5">
        <v>8.5299999999999994</v>
      </c>
      <c r="G23" s="5">
        <v>68.63</v>
      </c>
      <c r="H23" s="5">
        <v>0</v>
      </c>
      <c r="I23" s="5">
        <v>2</v>
      </c>
      <c r="J23" s="5">
        <v>17.059999999999999</v>
      </c>
      <c r="K23" s="5">
        <v>-119.25</v>
      </c>
      <c r="L23" s="5" t="s">
        <v>742</v>
      </c>
      <c r="M23" s="5">
        <v>63</v>
      </c>
      <c r="N23" s="7">
        <f t="shared" si="0"/>
        <v>68.63</v>
      </c>
      <c r="O23" s="7">
        <f t="shared" si="1"/>
        <v>17.059999999999999</v>
      </c>
      <c r="P23" s="7">
        <f t="shared" si="2"/>
        <v>-119.25</v>
      </c>
      <c r="Q23" s="7" t="str">
        <f t="shared" si="3"/>
        <v>✓ 通過</v>
      </c>
      <c r="R23" s="7" t="s">
        <v>99</v>
      </c>
      <c r="S23" s="6"/>
      <c r="T23" s="6"/>
    </row>
    <row r="24" spans="1:20" ht="27.6">
      <c r="A24" s="5" t="s">
        <v>746</v>
      </c>
      <c r="B24" s="5" t="s">
        <v>598</v>
      </c>
      <c r="C24" s="5" t="s">
        <v>712</v>
      </c>
      <c r="D24" s="5" t="s">
        <v>721</v>
      </c>
      <c r="E24" s="5">
        <v>60.1</v>
      </c>
      <c r="F24" s="5">
        <v>36.340000000000003</v>
      </c>
      <c r="G24" s="5">
        <v>96.44</v>
      </c>
      <c r="H24" s="5">
        <v>0</v>
      </c>
      <c r="I24" s="5">
        <v>2</v>
      </c>
      <c r="J24" s="5">
        <v>72.680000000000007</v>
      </c>
      <c r="K24" s="5">
        <v>-35.82</v>
      </c>
      <c r="L24" s="5" t="s">
        <v>742</v>
      </c>
      <c r="M24" s="5">
        <v>63</v>
      </c>
      <c r="N24" s="7">
        <f t="shared" si="0"/>
        <v>96.44</v>
      </c>
      <c r="O24" s="7">
        <f t="shared" si="1"/>
        <v>72.680000000000007</v>
      </c>
      <c r="P24" s="7">
        <f t="shared" si="2"/>
        <v>-35.819999999999993</v>
      </c>
      <c r="Q24" s="7" t="str">
        <f t="shared" si="3"/>
        <v>✓ 通過</v>
      </c>
      <c r="R24" s="7" t="s">
        <v>99</v>
      </c>
      <c r="S24" s="6"/>
      <c r="T24" s="6"/>
    </row>
    <row r="25" spans="1:20" ht="27.6">
      <c r="A25" s="5" t="s">
        <v>747</v>
      </c>
      <c r="B25" s="5" t="s">
        <v>598</v>
      </c>
      <c r="C25" s="5" t="s">
        <v>712</v>
      </c>
      <c r="D25" s="5" t="s">
        <v>723</v>
      </c>
      <c r="E25" s="5">
        <v>60.1</v>
      </c>
      <c r="F25" s="5">
        <v>38.19</v>
      </c>
      <c r="G25" s="5">
        <v>98.29</v>
      </c>
      <c r="H25" s="5">
        <v>0</v>
      </c>
      <c r="I25" s="5">
        <v>2</v>
      </c>
      <c r="J25" s="5">
        <v>76.38</v>
      </c>
      <c r="K25" s="5">
        <v>-30.27</v>
      </c>
      <c r="L25" s="5" t="s">
        <v>742</v>
      </c>
      <c r="M25" s="5">
        <v>63</v>
      </c>
      <c r="N25" s="7">
        <f t="shared" si="0"/>
        <v>98.289999999999992</v>
      </c>
      <c r="O25" s="7">
        <f t="shared" si="1"/>
        <v>76.38</v>
      </c>
      <c r="P25" s="7">
        <f t="shared" si="2"/>
        <v>-30.269999999999982</v>
      </c>
      <c r="Q25" s="7" t="str">
        <f t="shared" si="3"/>
        <v>✓ 通過</v>
      </c>
      <c r="R25" s="7" t="s">
        <v>99</v>
      </c>
      <c r="S25" s="6"/>
      <c r="T25" s="6"/>
    </row>
    <row r="26" spans="1:20" ht="27.6">
      <c r="A26" s="5" t="s">
        <v>748</v>
      </c>
      <c r="B26" s="5" t="s">
        <v>598</v>
      </c>
      <c r="C26" s="5" t="s">
        <v>712</v>
      </c>
      <c r="D26" s="5" t="s">
        <v>725</v>
      </c>
      <c r="E26" s="5">
        <v>60.1</v>
      </c>
      <c r="F26" s="5">
        <v>30.04</v>
      </c>
      <c r="G26" s="5">
        <v>90.14</v>
      </c>
      <c r="H26" s="5">
        <v>0</v>
      </c>
      <c r="I26" s="5">
        <v>2</v>
      </c>
      <c r="J26" s="5">
        <v>60.08</v>
      </c>
      <c r="K26" s="5">
        <v>-54.72</v>
      </c>
      <c r="L26" s="5" t="s">
        <v>742</v>
      </c>
      <c r="M26" s="5">
        <v>63</v>
      </c>
      <c r="N26" s="7">
        <f t="shared" si="0"/>
        <v>90.14</v>
      </c>
      <c r="O26" s="7">
        <f t="shared" si="1"/>
        <v>60.08</v>
      </c>
      <c r="P26" s="7">
        <f t="shared" si="2"/>
        <v>-54.72</v>
      </c>
      <c r="Q26" s="7" t="str">
        <f t="shared" si="3"/>
        <v>✓ 通過</v>
      </c>
      <c r="R26" s="7" t="s">
        <v>99</v>
      </c>
      <c r="S26" s="6"/>
      <c r="T26" s="6"/>
    </row>
    <row r="27" spans="1:20" ht="27.6">
      <c r="A27" s="5" t="s">
        <v>749</v>
      </c>
      <c r="B27" s="5" t="s">
        <v>598</v>
      </c>
      <c r="C27" s="5" t="s">
        <v>712</v>
      </c>
      <c r="D27" s="5" t="s">
        <v>727</v>
      </c>
      <c r="E27" s="5">
        <v>60.1</v>
      </c>
      <c r="F27" s="5">
        <v>36.28</v>
      </c>
      <c r="G27" s="5">
        <v>96.38</v>
      </c>
      <c r="H27" s="5">
        <v>0</v>
      </c>
      <c r="I27" s="5">
        <v>2</v>
      </c>
      <c r="J27" s="5">
        <v>72.56</v>
      </c>
      <c r="K27" s="5">
        <v>-36</v>
      </c>
      <c r="L27" s="5" t="s">
        <v>742</v>
      </c>
      <c r="M27" s="5">
        <v>63</v>
      </c>
      <c r="N27" s="7">
        <f t="shared" si="0"/>
        <v>96.38</v>
      </c>
      <c r="O27" s="7">
        <f t="shared" si="1"/>
        <v>72.56</v>
      </c>
      <c r="P27" s="7">
        <f t="shared" si="2"/>
        <v>-36</v>
      </c>
      <c r="Q27" s="7" t="str">
        <f t="shared" si="3"/>
        <v>✓ 通過</v>
      </c>
      <c r="R27" s="7" t="s">
        <v>99</v>
      </c>
      <c r="S27" s="6"/>
      <c r="T27" s="6"/>
    </row>
    <row r="28" spans="1:20">
      <c r="A28" s="5" t="s">
        <v>750</v>
      </c>
      <c r="B28" s="5" t="s">
        <v>598</v>
      </c>
      <c r="C28" s="5" t="s">
        <v>729</v>
      </c>
      <c r="D28" s="8" t="s">
        <v>730</v>
      </c>
      <c r="E28" s="5">
        <v>2.57</v>
      </c>
      <c r="F28" s="5">
        <v>41.33</v>
      </c>
      <c r="G28" s="5">
        <v>43.9</v>
      </c>
      <c r="H28" s="5">
        <v>0</v>
      </c>
      <c r="I28" s="5">
        <v>3</v>
      </c>
      <c r="J28" s="5">
        <v>123.99</v>
      </c>
      <c r="K28" s="5">
        <v>0</v>
      </c>
      <c r="L28" s="5" t="s">
        <v>750</v>
      </c>
      <c r="M28" s="5">
        <v>63</v>
      </c>
      <c r="N28" s="7">
        <f t="shared" si="0"/>
        <v>43.9</v>
      </c>
      <c r="O28" s="7">
        <f t="shared" si="1"/>
        <v>123.99</v>
      </c>
      <c r="P28" s="7">
        <f t="shared" si="2"/>
        <v>0</v>
      </c>
      <c r="Q28" s="7" t="str">
        <f t="shared" si="3"/>
        <v>✓ 通過</v>
      </c>
      <c r="R28" s="7" t="s">
        <v>99</v>
      </c>
      <c r="S28" s="6"/>
      <c r="T28" s="6"/>
    </row>
    <row r="29" spans="1:20">
      <c r="A29" s="5" t="s">
        <v>751</v>
      </c>
      <c r="B29" s="5" t="s">
        <v>598</v>
      </c>
      <c r="C29" s="5" t="s">
        <v>729</v>
      </c>
      <c r="D29" s="5" t="s">
        <v>732</v>
      </c>
      <c r="E29" s="5">
        <v>2.57</v>
      </c>
      <c r="F29" s="5">
        <v>2.14</v>
      </c>
      <c r="G29" s="5">
        <v>4.71</v>
      </c>
      <c r="H29" s="5">
        <v>0</v>
      </c>
      <c r="I29" s="5">
        <v>3</v>
      </c>
      <c r="J29" s="5">
        <v>6.42</v>
      </c>
      <c r="K29" s="5">
        <v>-156.76</v>
      </c>
      <c r="L29" s="5" t="s">
        <v>750</v>
      </c>
      <c r="M29" s="5">
        <v>63</v>
      </c>
      <c r="N29" s="7">
        <f t="shared" si="0"/>
        <v>4.71</v>
      </c>
      <c r="O29" s="7">
        <f t="shared" si="1"/>
        <v>6.42</v>
      </c>
      <c r="P29" s="7">
        <f t="shared" si="2"/>
        <v>-156.76</v>
      </c>
      <c r="Q29" s="7" t="str">
        <f t="shared" si="3"/>
        <v>✓ 通過</v>
      </c>
      <c r="R29" s="7" t="s">
        <v>99</v>
      </c>
      <c r="S29" s="6"/>
      <c r="T29" s="6"/>
    </row>
    <row r="30" spans="1:20">
      <c r="A30" s="5" t="s">
        <v>752</v>
      </c>
      <c r="B30" s="5" t="s">
        <v>598</v>
      </c>
      <c r="C30" s="5" t="s">
        <v>729</v>
      </c>
      <c r="D30" s="5" t="s">
        <v>719</v>
      </c>
      <c r="E30" s="5">
        <v>2.57</v>
      </c>
      <c r="F30" s="5">
        <v>8.5299999999999994</v>
      </c>
      <c r="G30" s="5">
        <v>11.1</v>
      </c>
      <c r="H30" s="5">
        <v>0</v>
      </c>
      <c r="I30" s="5">
        <v>3</v>
      </c>
      <c r="J30" s="5">
        <v>25.59</v>
      </c>
      <c r="K30" s="5">
        <v>-131.19999999999999</v>
      </c>
      <c r="L30" s="5" t="s">
        <v>750</v>
      </c>
      <c r="M30" s="5">
        <v>63</v>
      </c>
      <c r="N30" s="7">
        <f t="shared" si="0"/>
        <v>11.1</v>
      </c>
      <c r="O30" s="7">
        <f t="shared" si="1"/>
        <v>25.589999999999996</v>
      </c>
      <c r="P30" s="7">
        <f t="shared" si="2"/>
        <v>-131.19999999999999</v>
      </c>
      <c r="Q30" s="7" t="str">
        <f t="shared" si="3"/>
        <v>✓ 通過</v>
      </c>
      <c r="R30" s="7" t="s">
        <v>99</v>
      </c>
      <c r="S30" s="6"/>
      <c r="T30" s="6"/>
    </row>
    <row r="31" spans="1:20">
      <c r="A31" s="5" t="s">
        <v>753</v>
      </c>
      <c r="B31" s="5" t="s">
        <v>598</v>
      </c>
      <c r="C31" s="5" t="s">
        <v>729</v>
      </c>
      <c r="D31" s="5" t="s">
        <v>735</v>
      </c>
      <c r="E31" s="5">
        <v>2.57</v>
      </c>
      <c r="F31" s="5">
        <v>22.65</v>
      </c>
      <c r="G31" s="5">
        <v>25.22</v>
      </c>
      <c r="H31" s="5">
        <v>0</v>
      </c>
      <c r="I31" s="5">
        <v>3</v>
      </c>
      <c r="J31" s="5">
        <v>67.95</v>
      </c>
      <c r="K31" s="5">
        <v>-74.72</v>
      </c>
      <c r="L31" s="5" t="s">
        <v>750</v>
      </c>
      <c r="M31" s="5">
        <v>63</v>
      </c>
      <c r="N31" s="7">
        <f t="shared" si="0"/>
        <v>25.22</v>
      </c>
      <c r="O31" s="7">
        <f t="shared" si="1"/>
        <v>67.949999999999989</v>
      </c>
      <c r="P31" s="7">
        <f t="shared" si="2"/>
        <v>-74.719999999999985</v>
      </c>
      <c r="Q31" s="7" t="str">
        <f t="shared" si="3"/>
        <v>✓ 通過</v>
      </c>
      <c r="R31" s="7" t="s">
        <v>99</v>
      </c>
      <c r="S31" s="6"/>
      <c r="T31" s="6"/>
    </row>
    <row r="32" spans="1:20">
      <c r="A32" s="5" t="s">
        <v>754</v>
      </c>
      <c r="B32" s="5" t="s">
        <v>598</v>
      </c>
      <c r="C32" s="5" t="s">
        <v>729</v>
      </c>
      <c r="D32" s="5" t="s">
        <v>737</v>
      </c>
      <c r="E32" s="5">
        <v>2.57</v>
      </c>
      <c r="F32" s="5">
        <v>12.18</v>
      </c>
      <c r="G32" s="5">
        <v>14.75</v>
      </c>
      <c r="H32" s="5">
        <v>0</v>
      </c>
      <c r="I32" s="5">
        <v>3</v>
      </c>
      <c r="J32" s="5">
        <v>36.54</v>
      </c>
      <c r="K32" s="5">
        <v>-116.6</v>
      </c>
      <c r="L32" s="5" t="s">
        <v>750</v>
      </c>
      <c r="M32" s="5">
        <v>63</v>
      </c>
      <c r="N32" s="7">
        <f t="shared" si="0"/>
        <v>14.75</v>
      </c>
      <c r="O32" s="7">
        <f t="shared" si="1"/>
        <v>36.54</v>
      </c>
      <c r="P32" s="7">
        <f t="shared" si="2"/>
        <v>-116.6</v>
      </c>
      <c r="Q32" s="7" t="str">
        <f t="shared" si="3"/>
        <v>✓ 通過</v>
      </c>
      <c r="R32" s="7" t="s">
        <v>99</v>
      </c>
      <c r="S32" s="6"/>
      <c r="T32" s="6"/>
    </row>
    <row r="33" spans="1:20">
      <c r="A33" s="5" t="s">
        <v>755</v>
      </c>
      <c r="B33" s="5" t="s">
        <v>598</v>
      </c>
      <c r="C33" s="5" t="s">
        <v>729</v>
      </c>
      <c r="D33" s="5" t="s">
        <v>739</v>
      </c>
      <c r="E33" s="5">
        <v>2.57</v>
      </c>
      <c r="F33" s="5">
        <v>58.55</v>
      </c>
      <c r="G33" s="5">
        <v>61.12</v>
      </c>
      <c r="H33" s="5">
        <v>0</v>
      </c>
      <c r="I33" s="5">
        <v>3</v>
      </c>
      <c r="J33" s="5">
        <v>175.65</v>
      </c>
      <c r="K33" s="5">
        <v>68.88</v>
      </c>
      <c r="L33" s="5" t="s">
        <v>750</v>
      </c>
      <c r="M33" s="5">
        <v>63</v>
      </c>
      <c r="N33" s="7">
        <f t="shared" si="0"/>
        <v>61.12</v>
      </c>
      <c r="O33" s="7">
        <f t="shared" si="1"/>
        <v>175.64999999999998</v>
      </c>
      <c r="P33" s="7">
        <f t="shared" si="2"/>
        <v>68.880000000000024</v>
      </c>
      <c r="Q33" s="7" t="str">
        <f t="shared" si="3"/>
        <v>✓ 通過</v>
      </c>
      <c r="R33" s="7" t="s">
        <v>99</v>
      </c>
      <c r="S33" s="6"/>
      <c r="T33" s="6"/>
    </row>
    <row r="34" spans="1:20">
      <c r="A34" s="5" t="s">
        <v>756</v>
      </c>
      <c r="B34" s="5" t="s">
        <v>598</v>
      </c>
      <c r="C34" s="5" t="s">
        <v>729</v>
      </c>
      <c r="D34" s="5" t="s">
        <v>741</v>
      </c>
      <c r="E34" s="5">
        <v>2.57</v>
      </c>
      <c r="F34" s="5">
        <v>53.8</v>
      </c>
      <c r="G34" s="5">
        <v>56.37</v>
      </c>
      <c r="H34" s="5">
        <v>0</v>
      </c>
      <c r="I34" s="5">
        <v>1</v>
      </c>
      <c r="J34" s="5">
        <v>53.8</v>
      </c>
      <c r="K34" s="5">
        <v>-57.72</v>
      </c>
      <c r="L34" s="5" t="s">
        <v>750</v>
      </c>
      <c r="M34" s="5">
        <v>63</v>
      </c>
      <c r="N34" s="7">
        <f t="shared" si="0"/>
        <v>56.37</v>
      </c>
      <c r="O34" s="7">
        <f t="shared" si="1"/>
        <v>53.8</v>
      </c>
      <c r="P34" s="7">
        <f t="shared" si="2"/>
        <v>-57.72</v>
      </c>
      <c r="Q34" s="7" t="str">
        <f t="shared" si="3"/>
        <v>✓ 通過</v>
      </c>
      <c r="R34" s="7" t="s">
        <v>99</v>
      </c>
      <c r="S34" s="6"/>
      <c r="T34" s="6"/>
    </row>
    <row r="35" spans="1:20" ht="27.6">
      <c r="A35" s="5" t="s">
        <v>757</v>
      </c>
      <c r="B35" s="5" t="s">
        <v>606</v>
      </c>
      <c r="C35" s="5" t="s">
        <v>712</v>
      </c>
      <c r="D35" s="8" t="s">
        <v>713</v>
      </c>
      <c r="E35" s="5">
        <v>60.1</v>
      </c>
      <c r="F35" s="5">
        <v>48.28</v>
      </c>
      <c r="G35" s="5">
        <v>108.38</v>
      </c>
      <c r="H35" s="5">
        <v>0</v>
      </c>
      <c r="I35" s="5">
        <v>1</v>
      </c>
      <c r="J35" s="5">
        <v>48.28</v>
      </c>
      <c r="K35" s="5">
        <v>0</v>
      </c>
      <c r="L35" s="5" t="s">
        <v>757</v>
      </c>
      <c r="M35" s="5">
        <v>63</v>
      </c>
      <c r="N35" s="7">
        <f t="shared" si="0"/>
        <v>108.38</v>
      </c>
      <c r="O35" s="7">
        <f t="shared" si="1"/>
        <v>48.28</v>
      </c>
      <c r="P35" s="7">
        <f t="shared" si="2"/>
        <v>0</v>
      </c>
      <c r="Q35" s="7" t="str">
        <f t="shared" si="3"/>
        <v>✓ 通過</v>
      </c>
      <c r="R35" s="7" t="s">
        <v>99</v>
      </c>
      <c r="S35" s="6"/>
      <c r="T35" s="6"/>
    </row>
    <row r="36" spans="1:20" ht="27.6">
      <c r="A36" s="5" t="s">
        <v>758</v>
      </c>
      <c r="B36" s="5" t="s">
        <v>606</v>
      </c>
      <c r="C36" s="5" t="s">
        <v>712</v>
      </c>
      <c r="D36" s="5" t="s">
        <v>715</v>
      </c>
      <c r="E36" s="5">
        <v>60.1</v>
      </c>
      <c r="F36" s="5">
        <v>84.55</v>
      </c>
      <c r="G36" s="5">
        <v>144.65</v>
      </c>
      <c r="H36" s="5">
        <v>0</v>
      </c>
      <c r="I36" s="5">
        <v>1</v>
      </c>
      <c r="J36" s="5">
        <v>84.55</v>
      </c>
      <c r="K36" s="5">
        <v>72.540000000000006</v>
      </c>
      <c r="L36" s="5" t="s">
        <v>757</v>
      </c>
      <c r="M36" s="5">
        <v>63</v>
      </c>
      <c r="N36" s="7">
        <f t="shared" si="0"/>
        <v>144.65</v>
      </c>
      <c r="O36" s="7">
        <f t="shared" si="1"/>
        <v>84.55</v>
      </c>
      <c r="P36" s="7">
        <f t="shared" si="2"/>
        <v>72.539999999999992</v>
      </c>
      <c r="Q36" s="7" t="str">
        <f t="shared" si="3"/>
        <v>✓ 通過</v>
      </c>
      <c r="R36" s="7" t="s">
        <v>99</v>
      </c>
      <c r="S36" s="6"/>
      <c r="T36" s="6"/>
    </row>
    <row r="37" spans="1:20" ht="27.6">
      <c r="A37" s="5" t="s">
        <v>759</v>
      </c>
      <c r="B37" s="5" t="s">
        <v>606</v>
      </c>
      <c r="C37" s="5" t="s">
        <v>712</v>
      </c>
      <c r="D37" s="5" t="s">
        <v>717</v>
      </c>
      <c r="E37" s="5">
        <v>60.1</v>
      </c>
      <c r="F37" s="5">
        <v>18.100000000000001</v>
      </c>
      <c r="G37" s="5">
        <v>78.2</v>
      </c>
      <c r="H37" s="5">
        <v>0</v>
      </c>
      <c r="I37" s="5">
        <v>1</v>
      </c>
      <c r="J37" s="5">
        <v>18.100000000000001</v>
      </c>
      <c r="K37" s="5">
        <v>-60.36</v>
      </c>
      <c r="L37" s="5" t="s">
        <v>757</v>
      </c>
      <c r="M37" s="5">
        <v>63</v>
      </c>
      <c r="N37" s="7">
        <f t="shared" si="0"/>
        <v>78.2</v>
      </c>
      <c r="O37" s="7">
        <f t="shared" si="1"/>
        <v>18.100000000000001</v>
      </c>
      <c r="P37" s="7">
        <f t="shared" si="2"/>
        <v>-60.359999999999985</v>
      </c>
      <c r="Q37" s="7" t="str">
        <f t="shared" si="3"/>
        <v>✓ 通過</v>
      </c>
      <c r="R37" s="7" t="s">
        <v>99</v>
      </c>
      <c r="S37" s="6"/>
      <c r="T37" s="6"/>
    </row>
    <row r="38" spans="1:20" ht="27.6">
      <c r="A38" s="5" t="s">
        <v>760</v>
      </c>
      <c r="B38" s="5" t="s">
        <v>606</v>
      </c>
      <c r="C38" s="5" t="s">
        <v>712</v>
      </c>
      <c r="D38" s="5" t="s">
        <v>719</v>
      </c>
      <c r="E38" s="5">
        <v>60.1</v>
      </c>
      <c r="F38" s="5">
        <v>8.5299999999999994</v>
      </c>
      <c r="G38" s="5">
        <v>68.63</v>
      </c>
      <c r="H38" s="5">
        <v>0</v>
      </c>
      <c r="I38" s="5">
        <v>1</v>
      </c>
      <c r="J38" s="5">
        <v>8.5299999999999994</v>
      </c>
      <c r="K38" s="5">
        <v>-79.5</v>
      </c>
      <c r="L38" s="5" t="s">
        <v>757</v>
      </c>
      <c r="M38" s="5">
        <v>63</v>
      </c>
      <c r="N38" s="7">
        <f t="shared" si="0"/>
        <v>68.63</v>
      </c>
      <c r="O38" s="7">
        <f t="shared" si="1"/>
        <v>8.5299999999999994</v>
      </c>
      <c r="P38" s="7">
        <f t="shared" si="2"/>
        <v>-79.5</v>
      </c>
      <c r="Q38" s="7" t="str">
        <f t="shared" si="3"/>
        <v>✓ 通過</v>
      </c>
      <c r="R38" s="7" t="s">
        <v>99</v>
      </c>
      <c r="S38" s="6"/>
      <c r="T38" s="6"/>
    </row>
    <row r="39" spans="1:20" ht="27.6">
      <c r="A39" s="5" t="s">
        <v>761</v>
      </c>
      <c r="B39" s="5" t="s">
        <v>606</v>
      </c>
      <c r="C39" s="5" t="s">
        <v>712</v>
      </c>
      <c r="D39" s="5" t="s">
        <v>721</v>
      </c>
      <c r="E39" s="5">
        <v>60.1</v>
      </c>
      <c r="F39" s="5">
        <v>36.340000000000003</v>
      </c>
      <c r="G39" s="5">
        <v>96.44</v>
      </c>
      <c r="H39" s="5">
        <v>0</v>
      </c>
      <c r="I39" s="5">
        <v>1</v>
      </c>
      <c r="J39" s="5">
        <v>36.340000000000003</v>
      </c>
      <c r="K39" s="5">
        <v>-23.88</v>
      </c>
      <c r="L39" s="5" t="s">
        <v>757</v>
      </c>
      <c r="M39" s="5">
        <v>64</v>
      </c>
      <c r="N39" s="7">
        <f t="shared" si="0"/>
        <v>96.44</v>
      </c>
      <c r="O39" s="7">
        <f t="shared" si="1"/>
        <v>36.340000000000003</v>
      </c>
      <c r="P39" s="7">
        <f t="shared" si="2"/>
        <v>-23.879999999999995</v>
      </c>
      <c r="Q39" s="7" t="str">
        <f t="shared" si="3"/>
        <v>✓ 通過</v>
      </c>
      <c r="R39" s="7" t="s">
        <v>99</v>
      </c>
      <c r="S39" s="6"/>
      <c r="T39" s="6"/>
    </row>
    <row r="40" spans="1:20" ht="27.6">
      <c r="A40" s="5" t="s">
        <v>762</v>
      </c>
      <c r="B40" s="5" t="s">
        <v>606</v>
      </c>
      <c r="C40" s="5" t="s">
        <v>712</v>
      </c>
      <c r="D40" s="5" t="s">
        <v>723</v>
      </c>
      <c r="E40" s="5">
        <v>60.1</v>
      </c>
      <c r="F40" s="5">
        <v>38.19</v>
      </c>
      <c r="G40" s="5">
        <v>98.29</v>
      </c>
      <c r="H40" s="5">
        <v>0</v>
      </c>
      <c r="I40" s="5">
        <v>1</v>
      </c>
      <c r="J40" s="5">
        <v>38.19</v>
      </c>
      <c r="K40" s="5">
        <v>-20.18</v>
      </c>
      <c r="L40" s="5" t="s">
        <v>757</v>
      </c>
      <c r="M40" s="5">
        <v>64</v>
      </c>
      <c r="N40" s="7">
        <f t="shared" si="0"/>
        <v>98.289999999999992</v>
      </c>
      <c r="O40" s="7">
        <f t="shared" si="1"/>
        <v>38.19</v>
      </c>
      <c r="P40" s="7">
        <f t="shared" si="2"/>
        <v>-20.179999999999978</v>
      </c>
      <c r="Q40" s="7" t="str">
        <f t="shared" si="3"/>
        <v>✓ 通過</v>
      </c>
      <c r="R40" s="7" t="s">
        <v>99</v>
      </c>
      <c r="S40" s="6"/>
      <c r="T40" s="6"/>
    </row>
    <row r="41" spans="1:20" ht="27.6">
      <c r="A41" s="5" t="s">
        <v>763</v>
      </c>
      <c r="B41" s="5" t="s">
        <v>606</v>
      </c>
      <c r="C41" s="5" t="s">
        <v>712</v>
      </c>
      <c r="D41" s="5" t="s">
        <v>725</v>
      </c>
      <c r="E41" s="5">
        <v>60.1</v>
      </c>
      <c r="F41" s="5">
        <v>30.04</v>
      </c>
      <c r="G41" s="5">
        <v>90.14</v>
      </c>
      <c r="H41" s="5">
        <v>0</v>
      </c>
      <c r="I41" s="5">
        <v>1</v>
      </c>
      <c r="J41" s="5">
        <v>30.04</v>
      </c>
      <c r="K41" s="5">
        <v>-36.479999999999997</v>
      </c>
      <c r="L41" s="5" t="s">
        <v>757</v>
      </c>
      <c r="M41" s="5">
        <v>64</v>
      </c>
      <c r="N41" s="7">
        <f t="shared" si="0"/>
        <v>90.14</v>
      </c>
      <c r="O41" s="7">
        <f t="shared" si="1"/>
        <v>30.04</v>
      </c>
      <c r="P41" s="7">
        <f t="shared" si="2"/>
        <v>-36.47999999999999</v>
      </c>
      <c r="Q41" s="7" t="str">
        <f t="shared" si="3"/>
        <v>✓ 通過</v>
      </c>
      <c r="R41" s="7" t="s">
        <v>99</v>
      </c>
      <c r="S41" s="6"/>
      <c r="T41" s="6"/>
    </row>
    <row r="42" spans="1:20" ht="27.6">
      <c r="A42" s="5" t="s">
        <v>764</v>
      </c>
      <c r="B42" s="5" t="s">
        <v>606</v>
      </c>
      <c r="C42" s="5" t="s">
        <v>712</v>
      </c>
      <c r="D42" s="5" t="s">
        <v>727</v>
      </c>
      <c r="E42" s="5">
        <v>60.1</v>
      </c>
      <c r="F42" s="5">
        <v>36.28</v>
      </c>
      <c r="G42" s="5">
        <v>96.38</v>
      </c>
      <c r="H42" s="5">
        <v>0</v>
      </c>
      <c r="I42" s="5">
        <v>1</v>
      </c>
      <c r="J42" s="5">
        <v>36.28</v>
      </c>
      <c r="K42" s="5">
        <v>-24</v>
      </c>
      <c r="L42" s="5" t="s">
        <v>757</v>
      </c>
      <c r="M42" s="5">
        <v>64</v>
      </c>
      <c r="N42" s="7">
        <f t="shared" si="0"/>
        <v>96.38</v>
      </c>
      <c r="O42" s="7">
        <f t="shared" si="1"/>
        <v>36.28</v>
      </c>
      <c r="P42" s="7">
        <f t="shared" si="2"/>
        <v>-24</v>
      </c>
      <c r="Q42" s="7" t="str">
        <f t="shared" si="3"/>
        <v>✓ 通過</v>
      </c>
      <c r="R42" s="7" t="s">
        <v>99</v>
      </c>
      <c r="S42" s="6"/>
      <c r="T42" s="6"/>
    </row>
    <row r="43" spans="1:20">
      <c r="A43" s="5" t="s">
        <v>765</v>
      </c>
      <c r="B43" s="5" t="s">
        <v>606</v>
      </c>
      <c r="C43" s="5" t="s">
        <v>729</v>
      </c>
      <c r="D43" s="8" t="s">
        <v>730</v>
      </c>
      <c r="E43" s="5">
        <v>2.57</v>
      </c>
      <c r="F43" s="5">
        <v>41.33</v>
      </c>
      <c r="G43" s="5">
        <v>43.9</v>
      </c>
      <c r="H43" s="5">
        <v>0</v>
      </c>
      <c r="I43" s="5">
        <v>2</v>
      </c>
      <c r="J43" s="5">
        <v>82.66</v>
      </c>
      <c r="K43" s="5">
        <v>0</v>
      </c>
      <c r="L43" s="5" t="s">
        <v>765</v>
      </c>
      <c r="M43" s="5">
        <v>64</v>
      </c>
      <c r="N43" s="7">
        <f t="shared" si="0"/>
        <v>43.9</v>
      </c>
      <c r="O43" s="7">
        <f t="shared" si="1"/>
        <v>82.66</v>
      </c>
      <c r="P43" s="7">
        <f t="shared" si="2"/>
        <v>0</v>
      </c>
      <c r="Q43" s="7" t="str">
        <f t="shared" si="3"/>
        <v>✓ 通過</v>
      </c>
      <c r="R43" s="7" t="s">
        <v>99</v>
      </c>
      <c r="S43" s="6"/>
      <c r="T43" s="6"/>
    </row>
    <row r="44" spans="1:20">
      <c r="A44" s="5" t="s">
        <v>766</v>
      </c>
      <c r="B44" s="5" t="s">
        <v>606</v>
      </c>
      <c r="C44" s="5" t="s">
        <v>729</v>
      </c>
      <c r="D44" s="5" t="s">
        <v>732</v>
      </c>
      <c r="E44" s="5">
        <v>2.57</v>
      </c>
      <c r="F44" s="5">
        <v>2.14</v>
      </c>
      <c r="G44" s="5">
        <v>4.71</v>
      </c>
      <c r="H44" s="5">
        <v>0</v>
      </c>
      <c r="I44" s="5">
        <v>2</v>
      </c>
      <c r="J44" s="5">
        <v>4.28</v>
      </c>
      <c r="K44" s="5">
        <v>-117.57</v>
      </c>
      <c r="L44" s="5" t="s">
        <v>765</v>
      </c>
      <c r="M44" s="5">
        <v>64</v>
      </c>
      <c r="N44" s="7">
        <f t="shared" si="0"/>
        <v>4.71</v>
      </c>
      <c r="O44" s="7">
        <f t="shared" si="1"/>
        <v>4.28</v>
      </c>
      <c r="P44" s="7">
        <f t="shared" si="2"/>
        <v>-117.57000000000001</v>
      </c>
      <c r="Q44" s="7" t="str">
        <f t="shared" si="3"/>
        <v>✓ 通過</v>
      </c>
      <c r="R44" s="7" t="s">
        <v>99</v>
      </c>
      <c r="S44" s="6"/>
      <c r="T44" s="6"/>
    </row>
    <row r="45" spans="1:20">
      <c r="A45" s="5" t="s">
        <v>767</v>
      </c>
      <c r="B45" s="5" t="s">
        <v>606</v>
      </c>
      <c r="C45" s="5" t="s">
        <v>729</v>
      </c>
      <c r="D45" s="5" t="s">
        <v>719</v>
      </c>
      <c r="E45" s="5">
        <v>2.57</v>
      </c>
      <c r="F45" s="5">
        <v>8.5299999999999994</v>
      </c>
      <c r="G45" s="5">
        <v>11.1</v>
      </c>
      <c r="H45" s="5">
        <v>0</v>
      </c>
      <c r="I45" s="5">
        <v>2</v>
      </c>
      <c r="J45" s="5">
        <v>17.059999999999999</v>
      </c>
      <c r="K45" s="5">
        <v>-98.4</v>
      </c>
      <c r="L45" s="5" t="s">
        <v>765</v>
      </c>
      <c r="M45" s="5">
        <v>64</v>
      </c>
      <c r="N45" s="7">
        <f t="shared" si="0"/>
        <v>11.1</v>
      </c>
      <c r="O45" s="7">
        <f t="shared" si="1"/>
        <v>17.059999999999999</v>
      </c>
      <c r="P45" s="7">
        <f t="shared" si="2"/>
        <v>-98.4</v>
      </c>
      <c r="Q45" s="7" t="str">
        <f t="shared" si="3"/>
        <v>✓ 通過</v>
      </c>
      <c r="R45" s="7" t="s">
        <v>99</v>
      </c>
      <c r="S45" s="6"/>
      <c r="T45" s="6"/>
    </row>
    <row r="46" spans="1:20">
      <c r="A46" s="5" t="s">
        <v>768</v>
      </c>
      <c r="B46" s="5" t="s">
        <v>606</v>
      </c>
      <c r="C46" s="5" t="s">
        <v>729</v>
      </c>
      <c r="D46" s="5" t="s">
        <v>735</v>
      </c>
      <c r="E46" s="5">
        <v>2.57</v>
      </c>
      <c r="F46" s="5">
        <v>22.65</v>
      </c>
      <c r="G46" s="5">
        <v>25.22</v>
      </c>
      <c r="H46" s="5">
        <v>0</v>
      </c>
      <c r="I46" s="5">
        <v>2</v>
      </c>
      <c r="J46" s="5">
        <v>45.3</v>
      </c>
      <c r="K46" s="5">
        <v>-56.04</v>
      </c>
      <c r="L46" s="5" t="s">
        <v>765</v>
      </c>
      <c r="M46" s="5">
        <v>64</v>
      </c>
      <c r="N46" s="7">
        <f t="shared" si="0"/>
        <v>25.22</v>
      </c>
      <c r="O46" s="7">
        <f t="shared" si="1"/>
        <v>45.3</v>
      </c>
      <c r="P46" s="7">
        <f t="shared" si="2"/>
        <v>-56.040000000000006</v>
      </c>
      <c r="Q46" s="7" t="str">
        <f t="shared" si="3"/>
        <v>✓ 通過</v>
      </c>
      <c r="R46" s="7" t="s">
        <v>99</v>
      </c>
      <c r="S46" s="6"/>
      <c r="T46" s="6"/>
    </row>
    <row r="47" spans="1:20">
      <c r="A47" s="5" t="s">
        <v>769</v>
      </c>
      <c r="B47" s="5" t="s">
        <v>606</v>
      </c>
      <c r="C47" s="5" t="s">
        <v>729</v>
      </c>
      <c r="D47" s="5" t="s">
        <v>737</v>
      </c>
      <c r="E47" s="5">
        <v>2.57</v>
      </c>
      <c r="F47" s="5">
        <v>12.18</v>
      </c>
      <c r="G47" s="5">
        <v>14.75</v>
      </c>
      <c r="H47" s="5">
        <v>0</v>
      </c>
      <c r="I47" s="5">
        <v>2</v>
      </c>
      <c r="J47" s="5">
        <v>24.36</v>
      </c>
      <c r="K47" s="5">
        <v>-87.45</v>
      </c>
      <c r="L47" s="5" t="s">
        <v>765</v>
      </c>
      <c r="M47" s="5">
        <v>64</v>
      </c>
      <c r="N47" s="7">
        <f t="shared" si="0"/>
        <v>14.75</v>
      </c>
      <c r="O47" s="7">
        <f t="shared" si="1"/>
        <v>24.36</v>
      </c>
      <c r="P47" s="7">
        <f t="shared" si="2"/>
        <v>-87.45</v>
      </c>
      <c r="Q47" s="7" t="str">
        <f t="shared" si="3"/>
        <v>✓ 通過</v>
      </c>
      <c r="R47" s="7" t="s">
        <v>99</v>
      </c>
      <c r="S47" s="6"/>
      <c r="T47" s="6"/>
    </row>
    <row r="48" spans="1:20">
      <c r="A48" s="5" t="s">
        <v>770</v>
      </c>
      <c r="B48" s="5" t="s">
        <v>606</v>
      </c>
      <c r="C48" s="5" t="s">
        <v>729</v>
      </c>
      <c r="D48" s="5" t="s">
        <v>739</v>
      </c>
      <c r="E48" s="5">
        <v>2.57</v>
      </c>
      <c r="F48" s="5">
        <v>58.55</v>
      </c>
      <c r="G48" s="5">
        <v>61.12</v>
      </c>
      <c r="H48" s="5">
        <v>0</v>
      </c>
      <c r="I48" s="5">
        <v>2</v>
      </c>
      <c r="J48" s="5">
        <v>117.1</v>
      </c>
      <c r="K48" s="5">
        <v>51.66</v>
      </c>
      <c r="L48" s="5" t="s">
        <v>765</v>
      </c>
      <c r="M48" s="5">
        <v>64</v>
      </c>
      <c r="N48" s="7">
        <f t="shared" si="0"/>
        <v>61.12</v>
      </c>
      <c r="O48" s="7">
        <f t="shared" si="1"/>
        <v>117.1</v>
      </c>
      <c r="P48" s="7">
        <f t="shared" si="2"/>
        <v>51.66</v>
      </c>
      <c r="Q48" s="7" t="str">
        <f t="shared" si="3"/>
        <v>✓ 通過</v>
      </c>
      <c r="R48" s="7" t="s">
        <v>99</v>
      </c>
      <c r="S48" s="6"/>
      <c r="T48" s="6"/>
    </row>
    <row r="49" spans="1:20">
      <c r="A49" s="5" t="s">
        <v>771</v>
      </c>
      <c r="B49" s="5" t="s">
        <v>606</v>
      </c>
      <c r="C49" s="5" t="s">
        <v>729</v>
      </c>
      <c r="D49" s="5" t="s">
        <v>772</v>
      </c>
      <c r="E49" s="5">
        <v>2.57</v>
      </c>
      <c r="F49" s="5">
        <v>53.8</v>
      </c>
      <c r="G49" s="5">
        <v>56.37</v>
      </c>
      <c r="H49" s="5">
        <v>0</v>
      </c>
      <c r="I49" s="5">
        <v>1</v>
      </c>
      <c r="J49" s="5">
        <v>53.8</v>
      </c>
      <c r="K49" s="5">
        <v>-16.39</v>
      </c>
      <c r="L49" s="5" t="s">
        <v>765</v>
      </c>
      <c r="M49" s="5">
        <v>64</v>
      </c>
      <c r="N49" s="7">
        <f t="shared" si="0"/>
        <v>56.37</v>
      </c>
      <c r="O49" s="7">
        <f t="shared" si="1"/>
        <v>53.8</v>
      </c>
      <c r="P49" s="7">
        <f t="shared" si="2"/>
        <v>-16.390000000000015</v>
      </c>
      <c r="Q49" s="7" t="str">
        <f t="shared" si="3"/>
        <v>✓ 通過</v>
      </c>
      <c r="R49" s="7" t="s">
        <v>99</v>
      </c>
      <c r="S49" s="6"/>
      <c r="T49" s="6"/>
    </row>
  </sheetData>
  <autoFilter ref="A4:T49" xr:uid="{00000000-0009-0000-0000-000009000000}"/>
  <mergeCells count="1">
    <mergeCell ref="A2:T2"/>
  </mergeCells>
  <phoneticPr fontId="5" type="noConversion"/>
  <conditionalFormatting sqref="Q5:Q49">
    <cfRule type="expression" dxfId="1" priority="1">
      <formula>LEFT(Q5,1)="⚠"</formula>
    </cfRule>
  </conditionalFormatting>
  <conditionalFormatting sqref="R5:R49">
    <cfRule type="expression" dxfId="0" priority="2">
      <formula>R5&lt;&gt;"一致"</formula>
    </cfRule>
  </conditionalFormatting>
  <dataValidations count="1">
    <dataValidation type="list" allowBlank="1" sqref="S5:S49" xr:uid="{00000000-0002-0000-0900-000000000000}">
      <formula1>"✓ 正確,✗ 有誤,? 不確定"</formula1>
    </dataValidation>
  </dataValidation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說明（先看這頁）</vt:lpstr>
      <vt:lpstr>⚠ 需確認</vt:lpstr>
      <vt:lpstr>附錄一 初級資材</vt:lpstr>
      <vt:lpstr>附表2-1 外牆外裝</vt:lpstr>
      <vt:lpstr>附表2-2 外窗</vt:lpstr>
      <vt:lpstr>附表2-3 透光帷幕</vt:lpstr>
      <vt:lpstr>附表2-4 不透光帷幕</vt:lpstr>
      <vt:lpstr>附表2-5 內隔間</vt:lpstr>
      <vt:lpstr>附表2-6 室內地坪</vt:lpstr>
      <vt:lpstr>附表2-7 戶外地坪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林以晴 LIN YI-CHING</cp:lastModifiedBy>
  <dcterms:created xsi:type="dcterms:W3CDTF">2026-10-23T02:50:27Z</dcterms:created>
  <dcterms:modified xsi:type="dcterms:W3CDTF">2026-10-23T02:50:51Z</dcterms:modified>
</cp:coreProperties>
</file>